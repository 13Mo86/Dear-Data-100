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GitHub\Dear Data 100\"/>
    </mc:Choice>
  </mc:AlternateContent>
  <xr:revisionPtr revIDLastSave="0" documentId="13_ncr:1_{ED38C6EA-F0DB-432F-9BFE-EA596374BED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talogue" sheetId="4" r:id="rId1"/>
    <sheet name="Rec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" i="1" l="1"/>
  <c r="BA3" i="1"/>
  <c r="BA4" i="1"/>
  <c r="BA8" i="1"/>
  <c r="BA9" i="1"/>
  <c r="BA10" i="1"/>
  <c r="BA11" i="1"/>
  <c r="BA12" i="1"/>
  <c r="BA13" i="1"/>
  <c r="BA14" i="1"/>
  <c r="BA15" i="1"/>
  <c r="BA16" i="1"/>
  <c r="BC18" i="1"/>
  <c r="BB18" i="1"/>
  <c r="BA18" i="1"/>
  <c r="BC8" i="1"/>
  <c r="BC9" i="1"/>
  <c r="BC10" i="1"/>
  <c r="BC11" i="1"/>
  <c r="BC12" i="1"/>
  <c r="BC13" i="1"/>
  <c r="BC14" i="1"/>
  <c r="BC15" i="1"/>
  <c r="BC16" i="1"/>
  <c r="BB8" i="1"/>
  <c r="BB9" i="1"/>
  <c r="BB10" i="1"/>
  <c r="BB11" i="1"/>
  <c r="BB12" i="1"/>
  <c r="BB13" i="1"/>
  <c r="BB14" i="1"/>
  <c r="BB15" i="1"/>
  <c r="BB16" i="1"/>
  <c r="BC3" i="1"/>
  <c r="BC4" i="1"/>
  <c r="BC5" i="1"/>
  <c r="BC6" i="1"/>
  <c r="BC7" i="1"/>
  <c r="BC2" i="1"/>
  <c r="BB3" i="1"/>
  <c r="BB4" i="1"/>
  <c r="BB5" i="1"/>
  <c r="BB6" i="1"/>
  <c r="BB7" i="1"/>
  <c r="BB2" i="1"/>
  <c r="BA6" i="1"/>
  <c r="BA7" i="1"/>
  <c r="BA5" i="1"/>
</calcChain>
</file>

<file path=xl/sharedStrings.xml><?xml version="1.0" encoding="utf-8"?>
<sst xmlns="http://schemas.openxmlformats.org/spreadsheetml/2006/main" count="161" uniqueCount="66">
  <si>
    <t>Category</t>
  </si>
  <si>
    <t>Date</t>
  </si>
  <si>
    <t>Busyness(1-5)</t>
  </si>
  <si>
    <t xml:space="preserve">Drink Name </t>
  </si>
  <si>
    <t>Difficulty(1-5)</t>
  </si>
  <si>
    <t>Aperol Spritz</t>
  </si>
  <si>
    <t>Campari Spritz</t>
  </si>
  <si>
    <t>Espresso Martini</t>
  </si>
  <si>
    <t>Cosmopolitan</t>
  </si>
  <si>
    <t>Bramble</t>
  </si>
  <si>
    <t>Boulivardier</t>
  </si>
  <si>
    <t>Negroni</t>
  </si>
  <si>
    <t>Margarita</t>
  </si>
  <si>
    <t>Old Fashioned</t>
  </si>
  <si>
    <t>Whiskey Sour</t>
  </si>
  <si>
    <t>Amaretto Sour</t>
  </si>
  <si>
    <t>Long Island Iced Tea</t>
  </si>
  <si>
    <t>Gin &amp; Tonic</t>
  </si>
  <si>
    <t>Campari Soda</t>
  </si>
  <si>
    <t>Americano</t>
  </si>
  <si>
    <t>Negroni Sbagliato</t>
  </si>
  <si>
    <t>Limoncello Spritz</t>
  </si>
  <si>
    <t>Rossini</t>
  </si>
  <si>
    <t>Rum &amp;Coke</t>
  </si>
  <si>
    <t>Gin Martini</t>
  </si>
  <si>
    <t>Vodka Martini</t>
  </si>
  <si>
    <t>Dirty Gin Martini</t>
  </si>
  <si>
    <t>Dirty Vodka Martini</t>
  </si>
  <si>
    <t>Margarita On the Rocks</t>
  </si>
  <si>
    <t>Red Wine</t>
  </si>
  <si>
    <t>White Wine</t>
  </si>
  <si>
    <t>Rose Wine</t>
  </si>
  <si>
    <t>Sparkling Wine</t>
  </si>
  <si>
    <t>Beer</t>
  </si>
  <si>
    <t>Gin Martini On the Rocks</t>
  </si>
  <si>
    <t>Vodka Martini On the Rocks</t>
  </si>
  <si>
    <t>Cocktail</t>
  </si>
  <si>
    <t>Mixed Drink</t>
  </si>
  <si>
    <t>Wine</t>
  </si>
  <si>
    <t>Moretti</t>
  </si>
  <si>
    <t>Moretti Alcohol Free</t>
  </si>
  <si>
    <t xml:space="preserve">Peroni </t>
  </si>
  <si>
    <t>Soft Drink</t>
  </si>
  <si>
    <t>Diet Coke</t>
  </si>
  <si>
    <t>Coke Zero</t>
  </si>
  <si>
    <t>Lemonade</t>
  </si>
  <si>
    <t>Tonic Water</t>
  </si>
  <si>
    <t>Soda Water</t>
  </si>
  <si>
    <t>Orange Juice</t>
  </si>
  <si>
    <t>Apple Juice</t>
  </si>
  <si>
    <t>Pineapple Juice</t>
  </si>
  <si>
    <t>Cranberry Juice</t>
  </si>
  <si>
    <t>Mojito</t>
  </si>
  <si>
    <t xml:space="preserve">Cocktail </t>
  </si>
  <si>
    <t>Bloody Mary</t>
  </si>
  <si>
    <t>Summer Passion</t>
  </si>
  <si>
    <t>Home Sweet Home</t>
  </si>
  <si>
    <t>Mocktail</t>
  </si>
  <si>
    <t>Coca Cola</t>
  </si>
  <si>
    <t>Peach juice</t>
  </si>
  <si>
    <t>Virgin Bloody Mary</t>
  </si>
  <si>
    <t>Virgin Mojito</t>
  </si>
  <si>
    <t>Total Drinks</t>
  </si>
  <si>
    <t>empty</t>
  </si>
  <si>
    <t>full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</si>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</sst>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B8EC-C2E9-4926-9996-2A4C8052B322}">
  <dimension ref="A1:C51"/>
  <sheetViews>
    <sheetView workbookViewId="0">
      <selection activeCell="C56" sqref="C56"/>
    </sheetView>
  </sheetViews>
  <sheetFormatPr defaultRowHeight="14.4" x14ac:dyDescent="0.3"/>
  <cols>
    <col min="1" max="1" width="25.5546875" customWidth="1"/>
    <col min="2" max="2" width="11.33203125" customWidth="1"/>
    <col min="3" max="3" width="12.5546875" customWidth="1"/>
  </cols>
  <sheetData>
    <row r="1" spans="1:3" x14ac:dyDescent="0.3">
      <c r="A1" t="s">
        <v>3</v>
      </c>
      <c r="B1" t="s">
        <v>0</v>
      </c>
      <c r="C1" t="s">
        <v>4</v>
      </c>
    </row>
    <row r="2" spans="1:3" x14ac:dyDescent="0.3">
      <c r="A2" t="s">
        <v>5</v>
      </c>
      <c r="B2" t="s">
        <v>36</v>
      </c>
      <c r="C2">
        <v>2</v>
      </c>
    </row>
    <row r="3" spans="1:3" x14ac:dyDescent="0.3">
      <c r="A3" t="s">
        <v>6</v>
      </c>
      <c r="B3" t="s">
        <v>36</v>
      </c>
      <c r="C3">
        <v>2</v>
      </c>
    </row>
    <row r="4" spans="1:3" x14ac:dyDescent="0.3">
      <c r="A4" t="s">
        <v>7</v>
      </c>
      <c r="B4" t="s">
        <v>36</v>
      </c>
      <c r="C4">
        <v>4</v>
      </c>
    </row>
    <row r="5" spans="1:3" x14ac:dyDescent="0.3">
      <c r="A5" t="s">
        <v>8</v>
      </c>
      <c r="B5" t="s">
        <v>36</v>
      </c>
      <c r="C5">
        <v>3</v>
      </c>
    </row>
    <row r="6" spans="1:3" x14ac:dyDescent="0.3">
      <c r="A6" t="s">
        <v>9</v>
      </c>
      <c r="B6" t="s">
        <v>36</v>
      </c>
      <c r="C6">
        <v>3</v>
      </c>
    </row>
    <row r="7" spans="1:3" x14ac:dyDescent="0.3">
      <c r="A7" t="s">
        <v>10</v>
      </c>
      <c r="B7" t="s">
        <v>36</v>
      </c>
      <c r="C7">
        <v>2</v>
      </c>
    </row>
    <row r="8" spans="1:3" x14ac:dyDescent="0.3">
      <c r="A8" t="s">
        <v>11</v>
      </c>
      <c r="B8" t="s">
        <v>36</v>
      </c>
      <c r="C8">
        <v>2</v>
      </c>
    </row>
    <row r="9" spans="1:3" x14ac:dyDescent="0.3">
      <c r="A9" t="s">
        <v>12</v>
      </c>
      <c r="B9" t="s">
        <v>36</v>
      </c>
      <c r="C9">
        <v>3</v>
      </c>
    </row>
    <row r="10" spans="1:3" x14ac:dyDescent="0.3">
      <c r="A10" t="s">
        <v>13</v>
      </c>
      <c r="B10" t="s">
        <v>36</v>
      </c>
      <c r="C10">
        <v>2</v>
      </c>
    </row>
    <row r="11" spans="1:3" x14ac:dyDescent="0.3">
      <c r="A11" t="s">
        <v>14</v>
      </c>
      <c r="B11" t="s">
        <v>36</v>
      </c>
      <c r="C11">
        <v>5</v>
      </c>
    </row>
    <row r="12" spans="1:3" x14ac:dyDescent="0.3">
      <c r="A12" t="s">
        <v>15</v>
      </c>
      <c r="B12" t="s">
        <v>36</v>
      </c>
      <c r="C12">
        <v>5</v>
      </c>
    </row>
    <row r="13" spans="1:3" x14ac:dyDescent="0.3">
      <c r="A13" t="s">
        <v>16</v>
      </c>
      <c r="B13" t="s">
        <v>36</v>
      </c>
      <c r="C13">
        <v>3</v>
      </c>
    </row>
    <row r="14" spans="1:3" x14ac:dyDescent="0.3">
      <c r="A14" t="s">
        <v>17</v>
      </c>
      <c r="B14" t="s">
        <v>37</v>
      </c>
      <c r="C14">
        <v>2</v>
      </c>
    </row>
    <row r="15" spans="1:3" x14ac:dyDescent="0.3">
      <c r="A15" t="s">
        <v>18</v>
      </c>
      <c r="B15" t="s">
        <v>37</v>
      </c>
      <c r="C15">
        <v>2</v>
      </c>
    </row>
    <row r="16" spans="1:3" x14ac:dyDescent="0.3">
      <c r="A16" t="s">
        <v>19</v>
      </c>
      <c r="B16" t="s">
        <v>36</v>
      </c>
      <c r="C16">
        <v>2</v>
      </c>
    </row>
    <row r="17" spans="1:3" x14ac:dyDescent="0.3">
      <c r="A17" t="s">
        <v>20</v>
      </c>
      <c r="B17" t="s">
        <v>36</v>
      </c>
      <c r="C17">
        <v>2</v>
      </c>
    </row>
    <row r="18" spans="1:3" x14ac:dyDescent="0.3">
      <c r="A18" t="s">
        <v>21</v>
      </c>
      <c r="B18" t="s">
        <v>36</v>
      </c>
      <c r="C18">
        <v>2</v>
      </c>
    </row>
    <row r="19" spans="1:3" x14ac:dyDescent="0.3">
      <c r="A19" t="s">
        <v>22</v>
      </c>
      <c r="B19" t="s">
        <v>36</v>
      </c>
      <c r="C19">
        <v>2</v>
      </c>
    </row>
    <row r="20" spans="1:3" x14ac:dyDescent="0.3">
      <c r="A20" t="s">
        <v>23</v>
      </c>
      <c r="B20" t="s">
        <v>36</v>
      </c>
      <c r="C20">
        <v>2</v>
      </c>
    </row>
    <row r="21" spans="1:3" x14ac:dyDescent="0.3">
      <c r="A21" t="s">
        <v>24</v>
      </c>
      <c r="B21" t="s">
        <v>36</v>
      </c>
      <c r="C21">
        <v>2</v>
      </c>
    </row>
    <row r="22" spans="1:3" x14ac:dyDescent="0.3">
      <c r="A22" t="s">
        <v>25</v>
      </c>
      <c r="B22" t="s">
        <v>36</v>
      </c>
      <c r="C22">
        <v>2</v>
      </c>
    </row>
    <row r="23" spans="1:3" x14ac:dyDescent="0.3">
      <c r="A23" t="s">
        <v>26</v>
      </c>
      <c r="B23" t="s">
        <v>36</v>
      </c>
      <c r="C23">
        <v>3</v>
      </c>
    </row>
    <row r="24" spans="1:3" x14ac:dyDescent="0.3">
      <c r="A24" t="s">
        <v>27</v>
      </c>
      <c r="B24" t="s">
        <v>36</v>
      </c>
      <c r="C24">
        <v>3</v>
      </c>
    </row>
    <row r="25" spans="1:3" x14ac:dyDescent="0.3">
      <c r="A25" t="s">
        <v>34</v>
      </c>
      <c r="B25" t="s">
        <v>36</v>
      </c>
      <c r="C25">
        <v>2</v>
      </c>
    </row>
    <row r="26" spans="1:3" x14ac:dyDescent="0.3">
      <c r="A26" t="s">
        <v>35</v>
      </c>
      <c r="B26" t="s">
        <v>36</v>
      </c>
      <c r="C26">
        <v>2</v>
      </c>
    </row>
    <row r="27" spans="1:3" x14ac:dyDescent="0.3">
      <c r="A27" t="s">
        <v>28</v>
      </c>
      <c r="B27" t="s">
        <v>36</v>
      </c>
      <c r="C27">
        <v>3</v>
      </c>
    </row>
    <row r="28" spans="1:3" x14ac:dyDescent="0.3">
      <c r="A28" t="s">
        <v>29</v>
      </c>
      <c r="B28" t="s">
        <v>38</v>
      </c>
      <c r="C28">
        <v>1</v>
      </c>
    </row>
    <row r="29" spans="1:3" x14ac:dyDescent="0.3">
      <c r="A29" t="s">
        <v>30</v>
      </c>
      <c r="B29" t="s">
        <v>38</v>
      </c>
      <c r="C29">
        <v>1</v>
      </c>
    </row>
    <row r="30" spans="1:3" x14ac:dyDescent="0.3">
      <c r="A30" t="s">
        <v>31</v>
      </c>
      <c r="B30" t="s">
        <v>38</v>
      </c>
      <c r="C30">
        <v>1</v>
      </c>
    </row>
    <row r="31" spans="1:3" x14ac:dyDescent="0.3">
      <c r="A31" t="s">
        <v>32</v>
      </c>
      <c r="B31" t="s">
        <v>38</v>
      </c>
      <c r="C31">
        <v>1</v>
      </c>
    </row>
    <row r="32" spans="1:3" x14ac:dyDescent="0.3">
      <c r="A32" t="s">
        <v>39</v>
      </c>
      <c r="B32" t="s">
        <v>33</v>
      </c>
      <c r="C32">
        <v>1</v>
      </c>
    </row>
    <row r="33" spans="1:3" x14ac:dyDescent="0.3">
      <c r="A33" t="s">
        <v>40</v>
      </c>
      <c r="B33" t="s">
        <v>33</v>
      </c>
      <c r="C33">
        <v>1</v>
      </c>
    </row>
    <row r="34" spans="1:3" x14ac:dyDescent="0.3">
      <c r="A34" t="s">
        <v>41</v>
      </c>
      <c r="B34" t="s">
        <v>33</v>
      </c>
      <c r="C34">
        <v>1</v>
      </c>
    </row>
    <row r="35" spans="1:3" x14ac:dyDescent="0.3">
      <c r="A35" t="s">
        <v>52</v>
      </c>
      <c r="B35" t="s">
        <v>53</v>
      </c>
      <c r="C35">
        <v>4</v>
      </c>
    </row>
    <row r="36" spans="1:3" x14ac:dyDescent="0.3">
      <c r="A36" t="s">
        <v>54</v>
      </c>
      <c r="B36" t="s">
        <v>36</v>
      </c>
      <c r="C36">
        <v>4</v>
      </c>
    </row>
    <row r="37" spans="1:3" x14ac:dyDescent="0.3">
      <c r="A37" t="s">
        <v>61</v>
      </c>
      <c r="B37" t="s">
        <v>57</v>
      </c>
      <c r="C37">
        <v>4</v>
      </c>
    </row>
    <row r="38" spans="1:3" x14ac:dyDescent="0.3">
      <c r="A38" t="s">
        <v>60</v>
      </c>
      <c r="B38" t="s">
        <v>57</v>
      </c>
      <c r="C38">
        <v>4</v>
      </c>
    </row>
    <row r="39" spans="1:3" x14ac:dyDescent="0.3">
      <c r="A39" t="s">
        <v>55</v>
      </c>
      <c r="B39" t="s">
        <v>57</v>
      </c>
      <c r="C39">
        <v>3</v>
      </c>
    </row>
    <row r="40" spans="1:3" x14ac:dyDescent="0.3">
      <c r="A40" t="s">
        <v>56</v>
      </c>
      <c r="B40" t="s">
        <v>57</v>
      </c>
      <c r="C40">
        <v>3</v>
      </c>
    </row>
    <row r="41" spans="1:3" x14ac:dyDescent="0.3">
      <c r="A41" t="s">
        <v>58</v>
      </c>
      <c r="B41" t="s">
        <v>42</v>
      </c>
      <c r="C41">
        <v>1</v>
      </c>
    </row>
    <row r="42" spans="1:3" x14ac:dyDescent="0.3">
      <c r="A42" t="s">
        <v>44</v>
      </c>
      <c r="B42" t="s">
        <v>42</v>
      </c>
      <c r="C42">
        <v>1</v>
      </c>
    </row>
    <row r="43" spans="1:3" x14ac:dyDescent="0.3">
      <c r="A43" t="s">
        <v>43</v>
      </c>
      <c r="B43" t="s">
        <v>42</v>
      </c>
      <c r="C43">
        <v>1</v>
      </c>
    </row>
    <row r="44" spans="1:3" x14ac:dyDescent="0.3">
      <c r="A44" t="s">
        <v>59</v>
      </c>
      <c r="B44" t="s">
        <v>42</v>
      </c>
      <c r="C44">
        <v>1</v>
      </c>
    </row>
    <row r="45" spans="1:3" x14ac:dyDescent="0.3">
      <c r="A45" t="s">
        <v>49</v>
      </c>
      <c r="B45" t="s">
        <v>42</v>
      </c>
      <c r="C45">
        <v>1</v>
      </c>
    </row>
    <row r="46" spans="1:3" x14ac:dyDescent="0.3">
      <c r="A46" t="s">
        <v>48</v>
      </c>
      <c r="B46" t="s">
        <v>42</v>
      </c>
      <c r="C46">
        <v>1</v>
      </c>
    </row>
    <row r="47" spans="1:3" x14ac:dyDescent="0.3">
      <c r="A47" t="s">
        <v>50</v>
      </c>
      <c r="B47" t="s">
        <v>42</v>
      </c>
      <c r="C47">
        <v>1</v>
      </c>
    </row>
    <row r="48" spans="1:3" x14ac:dyDescent="0.3">
      <c r="A48" t="s">
        <v>51</v>
      </c>
      <c r="B48" t="s">
        <v>42</v>
      </c>
      <c r="C48">
        <v>1</v>
      </c>
    </row>
    <row r="49" spans="1:3" x14ac:dyDescent="0.3">
      <c r="A49" t="s">
        <v>45</v>
      </c>
      <c r="B49" t="s">
        <v>42</v>
      </c>
      <c r="C49">
        <v>1</v>
      </c>
    </row>
    <row r="50" spans="1:3" x14ac:dyDescent="0.3">
      <c r="A50" t="s">
        <v>46</v>
      </c>
      <c r="B50" t="s">
        <v>42</v>
      </c>
      <c r="C50">
        <v>1</v>
      </c>
    </row>
    <row r="51" spans="1:3" x14ac:dyDescent="0.3">
      <c r="A51" t="s">
        <v>47</v>
      </c>
      <c r="B51" t="s">
        <v>42</v>
      </c>
      <c r="C5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8"/>
  <sheetViews>
    <sheetView tabSelected="1" workbookViewId="0">
      <selection activeCell="B11" sqref="B11"/>
    </sheetView>
  </sheetViews>
  <sheetFormatPr defaultRowHeight="14.4" x14ac:dyDescent="0.3"/>
  <cols>
    <col min="1" max="1" width="10.77734375" customWidth="1"/>
    <col min="2" max="2" width="12.6640625" customWidth="1"/>
    <col min="3" max="3" width="12.5546875" customWidth="1"/>
    <col min="4" max="4" width="13.88671875" customWidth="1"/>
    <col min="5" max="5" width="14.6640625" customWidth="1"/>
    <col min="6" max="6" width="14" customWidth="1"/>
    <col min="8" max="8" width="12" customWidth="1"/>
    <col min="11" max="11" width="15.21875" customWidth="1"/>
    <col min="12" max="12" width="12.44140625" customWidth="1"/>
    <col min="13" max="13" width="13.33203125" customWidth="1"/>
    <col min="14" max="14" width="18.88671875" customWidth="1"/>
    <col min="15" max="15" width="10.77734375" customWidth="1"/>
    <col min="16" max="16" width="12.5546875" customWidth="1"/>
    <col min="17" max="17" width="12" customWidth="1"/>
    <col min="18" max="18" width="15.5546875" customWidth="1"/>
    <col min="19" max="19" width="17.33203125" customWidth="1"/>
    <col min="20" max="20" width="7" customWidth="1"/>
    <col min="21" max="21" width="11" customWidth="1"/>
    <col min="22" max="22" width="11.6640625" customWidth="1"/>
    <col min="23" max="23" width="14.21875" customWidth="1"/>
    <col min="24" max="24" width="14.6640625" customWidth="1"/>
    <col min="25" max="25" width="18.44140625" customWidth="1"/>
    <col min="26" max="26" width="21.44140625" customWidth="1"/>
    <col min="27" max="27" width="24" customWidth="1"/>
    <col min="28" max="28" width="21.6640625" customWidth="1"/>
    <col min="30" max="30" width="11.33203125" customWidth="1"/>
    <col min="31" max="31" width="10.5546875" customWidth="1"/>
    <col min="32" max="32" width="12.77734375" customWidth="1"/>
    <col min="34" max="34" width="17.77734375" customWidth="1"/>
    <col min="37" max="37" width="11.77734375" customWidth="1"/>
    <col min="38" max="38" width="13" customWidth="1"/>
    <col min="39" max="39" width="18.109375" customWidth="1"/>
    <col min="40" max="40" width="15.77734375" customWidth="1"/>
    <col min="41" max="41" width="18" customWidth="1"/>
    <col min="42" max="42" width="9" customWidth="1"/>
    <col min="45" max="45" width="11" customWidth="1"/>
    <col min="46" max="46" width="11.88671875" customWidth="1"/>
    <col min="47" max="47" width="12.21875" customWidth="1"/>
    <col min="48" max="48" width="14.6640625" customWidth="1"/>
    <col min="49" max="49" width="15.5546875" customWidth="1"/>
    <col min="50" max="50" width="10.44140625" customWidth="1"/>
    <col min="51" max="51" width="11.44140625" customWidth="1"/>
    <col min="52" max="52" width="10.88671875" customWidth="1"/>
    <col min="53" max="53" width="11.88671875" customWidth="1"/>
  </cols>
  <sheetData>
    <row r="1" spans="1:55" x14ac:dyDescent="0.3">
      <c r="A1" t="s">
        <v>1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34</v>
      </c>
      <c r="AA1" t="s">
        <v>35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39</v>
      </c>
      <c r="AH1" t="s">
        <v>40</v>
      </c>
      <c r="AI1" t="s">
        <v>41</v>
      </c>
      <c r="AJ1" t="s">
        <v>52</v>
      </c>
      <c r="AK1" t="s">
        <v>54</v>
      </c>
      <c r="AL1" t="s">
        <v>61</v>
      </c>
      <c r="AM1" t="s">
        <v>60</v>
      </c>
      <c r="AN1" t="s">
        <v>55</v>
      </c>
      <c r="AO1" t="s">
        <v>56</v>
      </c>
      <c r="AP1" t="s">
        <v>58</v>
      </c>
      <c r="AQ1" t="s">
        <v>44</v>
      </c>
      <c r="AR1" t="s">
        <v>43</v>
      </c>
      <c r="AS1" t="s">
        <v>59</v>
      </c>
      <c r="AT1" t="s">
        <v>49</v>
      </c>
      <c r="AU1" t="s">
        <v>48</v>
      </c>
      <c r="AV1" t="s">
        <v>50</v>
      </c>
      <c r="AW1" t="s">
        <v>51</v>
      </c>
      <c r="AX1" t="s">
        <v>45</v>
      </c>
      <c r="AY1" t="s">
        <v>46</v>
      </c>
      <c r="AZ1" t="s">
        <v>47</v>
      </c>
      <c r="BA1" t="s">
        <v>62</v>
      </c>
      <c r="BB1" t="s">
        <v>63</v>
      </c>
      <c r="BC1" t="s">
        <v>64</v>
      </c>
    </row>
    <row r="2" spans="1:55" x14ac:dyDescent="0.3">
      <c r="A2" s="1">
        <v>46295</v>
      </c>
      <c r="B2">
        <v>3</v>
      </c>
      <c r="C2">
        <v>2</v>
      </c>
      <c r="D2">
        <v>0</v>
      </c>
      <c r="E2">
        <v>1</v>
      </c>
      <c r="F2">
        <v>2</v>
      </c>
      <c r="G2">
        <v>2</v>
      </c>
      <c r="H2">
        <v>1</v>
      </c>
      <c r="I2">
        <v>0</v>
      </c>
      <c r="J2">
        <v>4</v>
      </c>
      <c r="K2">
        <v>1</v>
      </c>
      <c r="L2">
        <v>0</v>
      </c>
      <c r="M2">
        <v>0</v>
      </c>
      <c r="N2">
        <v>0</v>
      </c>
      <c r="O2">
        <v>5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2</v>
      </c>
      <c r="X2">
        <v>0</v>
      </c>
      <c r="Y2">
        <v>0</v>
      </c>
      <c r="Z2">
        <v>0</v>
      </c>
      <c r="AA2">
        <v>0</v>
      </c>
      <c r="AB2">
        <v>0</v>
      </c>
      <c r="AC2">
        <v>24</v>
      </c>
      <c r="AD2">
        <v>6</v>
      </c>
      <c r="AE2">
        <v>1</v>
      </c>
      <c r="AF2">
        <v>2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15</v>
      </c>
      <c r="AQ2">
        <v>10</v>
      </c>
      <c r="AR2">
        <v>4</v>
      </c>
      <c r="AS2">
        <v>2</v>
      </c>
      <c r="AT2">
        <v>1</v>
      </c>
      <c r="AU2">
        <v>0</v>
      </c>
      <c r="AV2">
        <v>1</v>
      </c>
      <c r="AW2">
        <v>3</v>
      </c>
      <c r="AX2">
        <v>5</v>
      </c>
      <c r="AY2">
        <v>0</v>
      </c>
      <c r="AZ2">
        <v>0</v>
      </c>
      <c r="BA2">
        <f t="shared" ref="BA2:BA4" si="0">SUM(C2:AZ2)</f>
        <v>98</v>
      </c>
      <c r="BB2">
        <f>COUNTIF(C2:AZ2,0)</f>
        <v>28</v>
      </c>
      <c r="BC2">
        <f>COUNTIF(C2:AZ2,"&gt;0")</f>
        <v>22</v>
      </c>
    </row>
    <row r="3" spans="1:55" x14ac:dyDescent="0.3">
      <c r="A3" s="1">
        <v>46296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2</v>
      </c>
      <c r="J3">
        <v>0</v>
      </c>
      <c r="K3">
        <v>1</v>
      </c>
      <c r="L3">
        <v>0</v>
      </c>
      <c r="M3">
        <v>0</v>
      </c>
      <c r="N3">
        <v>0</v>
      </c>
      <c r="O3">
        <v>2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12</v>
      </c>
      <c r="AD3">
        <v>2</v>
      </c>
      <c r="AE3">
        <v>0</v>
      </c>
      <c r="AF3">
        <v>0</v>
      </c>
      <c r="AG3">
        <v>2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5</v>
      </c>
      <c r="AQ3">
        <v>2</v>
      </c>
      <c r="AR3">
        <v>1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f t="shared" si="0"/>
        <v>30</v>
      </c>
      <c r="BB3">
        <f t="shared" ref="BB3:BB16" si="1">COUNTIF(C3:AZ3,0)</f>
        <v>40</v>
      </c>
      <c r="BC3">
        <f t="shared" ref="BC3:BC16" si="2">COUNTIF(C3:AZ3,"&gt;0")</f>
        <v>10</v>
      </c>
    </row>
    <row r="4" spans="1:55" x14ac:dyDescent="0.3">
      <c r="A4" s="1">
        <v>46297</v>
      </c>
      <c r="B4">
        <v>3</v>
      </c>
      <c r="C4">
        <v>4</v>
      </c>
      <c r="D4">
        <v>2</v>
      </c>
      <c r="E4">
        <v>5</v>
      </c>
      <c r="F4">
        <v>1</v>
      </c>
      <c r="G4">
        <v>0</v>
      </c>
      <c r="H4">
        <v>3</v>
      </c>
      <c r="I4">
        <v>1</v>
      </c>
      <c r="J4">
        <v>0</v>
      </c>
      <c r="K4">
        <v>7</v>
      </c>
      <c r="L4">
        <v>2</v>
      </c>
      <c r="M4">
        <v>0</v>
      </c>
      <c r="N4">
        <v>4</v>
      </c>
      <c r="O4">
        <v>7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10</v>
      </c>
      <c r="AC4">
        <v>84</v>
      </c>
      <c r="AD4">
        <v>18</v>
      </c>
      <c r="AE4">
        <v>6</v>
      </c>
      <c r="AF4">
        <v>36</v>
      </c>
      <c r="AG4">
        <v>48</v>
      </c>
      <c r="AH4">
        <v>0</v>
      </c>
      <c r="AI4">
        <v>24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20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f t="shared" si="0"/>
        <v>283</v>
      </c>
      <c r="BB4">
        <f t="shared" si="1"/>
        <v>31</v>
      </c>
      <c r="BC4">
        <f t="shared" si="2"/>
        <v>19</v>
      </c>
    </row>
    <row r="5" spans="1:55" x14ac:dyDescent="0.3">
      <c r="A5" s="1">
        <v>46304</v>
      </c>
      <c r="B5" s="2">
        <v>3</v>
      </c>
      <c r="C5">
        <v>6</v>
      </c>
      <c r="D5">
        <v>2</v>
      </c>
      <c r="E5">
        <v>4</v>
      </c>
      <c r="F5">
        <v>1</v>
      </c>
      <c r="G5">
        <v>1</v>
      </c>
      <c r="H5">
        <v>0</v>
      </c>
      <c r="I5">
        <v>6</v>
      </c>
      <c r="J5">
        <v>0</v>
      </c>
      <c r="K5">
        <v>2</v>
      </c>
      <c r="L5">
        <v>0</v>
      </c>
      <c r="M5">
        <v>1</v>
      </c>
      <c r="N5">
        <v>1</v>
      </c>
      <c r="O5">
        <v>6</v>
      </c>
      <c r="P5">
        <v>0</v>
      </c>
      <c r="Q5">
        <v>0</v>
      </c>
      <c r="R5">
        <v>0</v>
      </c>
      <c r="S5">
        <v>1</v>
      </c>
      <c r="T5">
        <v>1</v>
      </c>
      <c r="U5">
        <v>2</v>
      </c>
      <c r="V5">
        <v>4</v>
      </c>
      <c r="W5">
        <v>2</v>
      </c>
      <c r="X5">
        <v>2</v>
      </c>
      <c r="Y5">
        <v>1</v>
      </c>
      <c r="Z5">
        <v>1</v>
      </c>
      <c r="AA5">
        <v>0</v>
      </c>
      <c r="AB5">
        <v>5</v>
      </c>
      <c r="AC5">
        <v>50</v>
      </c>
      <c r="AD5">
        <v>10</v>
      </c>
      <c r="AE5">
        <v>4</v>
      </c>
      <c r="AF5">
        <v>6</v>
      </c>
      <c r="AG5">
        <v>30</v>
      </c>
      <c r="AH5">
        <v>1</v>
      </c>
      <c r="AI5">
        <v>10</v>
      </c>
      <c r="AJ5">
        <v>0</v>
      </c>
      <c r="AK5">
        <v>0</v>
      </c>
      <c r="AL5">
        <v>4</v>
      </c>
      <c r="AM5">
        <v>0</v>
      </c>
      <c r="AN5">
        <v>0</v>
      </c>
      <c r="AO5">
        <v>0</v>
      </c>
      <c r="AP5">
        <v>15</v>
      </c>
      <c r="AQ5">
        <v>10</v>
      </c>
      <c r="AR5">
        <v>6</v>
      </c>
      <c r="AS5">
        <v>2</v>
      </c>
      <c r="AT5">
        <v>4</v>
      </c>
      <c r="AU5">
        <v>6</v>
      </c>
      <c r="AV5">
        <v>0</v>
      </c>
      <c r="AW5">
        <v>2</v>
      </c>
      <c r="AX5">
        <v>3</v>
      </c>
      <c r="AY5">
        <v>0</v>
      </c>
      <c r="AZ5">
        <v>0</v>
      </c>
      <c r="BA5">
        <f>SUM(C5:AZ5)</f>
        <v>212</v>
      </c>
      <c r="BB5">
        <f t="shared" si="1"/>
        <v>15</v>
      </c>
      <c r="BC5">
        <f t="shared" si="2"/>
        <v>35</v>
      </c>
    </row>
    <row r="6" spans="1:55" x14ac:dyDescent="0.3">
      <c r="A6" s="1">
        <v>46305</v>
      </c>
      <c r="B6">
        <v>4</v>
      </c>
      <c r="C6">
        <v>4</v>
      </c>
      <c r="D6">
        <v>0</v>
      </c>
      <c r="E6">
        <v>10</v>
      </c>
      <c r="F6">
        <v>2</v>
      </c>
      <c r="G6">
        <v>1</v>
      </c>
      <c r="H6">
        <v>0</v>
      </c>
      <c r="I6">
        <v>10</v>
      </c>
      <c r="J6">
        <v>1</v>
      </c>
      <c r="K6">
        <v>4</v>
      </c>
      <c r="L6">
        <v>2</v>
      </c>
      <c r="M6">
        <v>0</v>
      </c>
      <c r="N6">
        <v>0</v>
      </c>
      <c r="O6">
        <v>16</v>
      </c>
      <c r="P6">
        <v>1</v>
      </c>
      <c r="Q6">
        <v>1</v>
      </c>
      <c r="R6">
        <v>0</v>
      </c>
      <c r="S6">
        <v>2</v>
      </c>
      <c r="T6">
        <v>0</v>
      </c>
      <c r="U6">
        <v>6</v>
      </c>
      <c r="V6">
        <v>2</v>
      </c>
      <c r="W6">
        <v>3</v>
      </c>
      <c r="X6">
        <v>0</v>
      </c>
      <c r="Y6">
        <v>0</v>
      </c>
      <c r="Z6">
        <v>2</v>
      </c>
      <c r="AA6">
        <v>0</v>
      </c>
      <c r="AB6">
        <v>4</v>
      </c>
      <c r="AC6">
        <v>70</v>
      </c>
      <c r="AD6">
        <v>8</v>
      </c>
      <c r="AE6">
        <v>2</v>
      </c>
      <c r="AF6">
        <v>4</v>
      </c>
      <c r="AG6">
        <v>20</v>
      </c>
      <c r="AH6">
        <v>0</v>
      </c>
      <c r="AI6">
        <v>15</v>
      </c>
      <c r="AJ6">
        <v>1</v>
      </c>
      <c r="AK6">
        <v>0</v>
      </c>
      <c r="AL6">
        <v>6</v>
      </c>
      <c r="AM6">
        <v>0</v>
      </c>
      <c r="AN6">
        <v>0</v>
      </c>
      <c r="AO6">
        <v>0</v>
      </c>
      <c r="AP6">
        <v>24</v>
      </c>
      <c r="AQ6">
        <v>5</v>
      </c>
      <c r="AR6">
        <v>0</v>
      </c>
      <c r="AS6">
        <v>0</v>
      </c>
      <c r="AT6">
        <v>5</v>
      </c>
      <c r="AU6">
        <v>0</v>
      </c>
      <c r="AV6">
        <v>0</v>
      </c>
      <c r="AW6">
        <v>0</v>
      </c>
      <c r="AX6">
        <v>1</v>
      </c>
      <c r="AY6">
        <v>0</v>
      </c>
      <c r="AZ6">
        <v>0</v>
      </c>
      <c r="BA6">
        <f t="shared" ref="BA6:BA16" si="3">SUM(C6:AZ6)</f>
        <v>232</v>
      </c>
      <c r="BB6">
        <f t="shared" si="1"/>
        <v>21</v>
      </c>
      <c r="BC6">
        <f t="shared" si="2"/>
        <v>29</v>
      </c>
    </row>
    <row r="7" spans="1:55" x14ac:dyDescent="0.3">
      <c r="A7" s="1">
        <v>46306</v>
      </c>
      <c r="B7">
        <v>2</v>
      </c>
      <c r="C7">
        <v>2</v>
      </c>
      <c r="D7">
        <v>0</v>
      </c>
      <c r="E7">
        <v>2</v>
      </c>
      <c r="F7">
        <v>0</v>
      </c>
      <c r="G7">
        <v>0</v>
      </c>
      <c r="H7">
        <v>0</v>
      </c>
      <c r="I7">
        <v>0</v>
      </c>
      <c r="J7">
        <v>3</v>
      </c>
      <c r="K7">
        <v>1</v>
      </c>
      <c r="L7">
        <v>0</v>
      </c>
      <c r="M7">
        <v>0</v>
      </c>
      <c r="N7">
        <v>3</v>
      </c>
      <c r="O7">
        <v>6</v>
      </c>
      <c r="P7">
        <v>0</v>
      </c>
      <c r="Q7">
        <v>0</v>
      </c>
      <c r="R7">
        <v>1</v>
      </c>
      <c r="S7">
        <v>2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12</v>
      </c>
      <c r="AD7">
        <v>6</v>
      </c>
      <c r="AE7">
        <v>1</v>
      </c>
      <c r="AF7">
        <v>20</v>
      </c>
      <c r="AG7">
        <v>6</v>
      </c>
      <c r="AH7">
        <v>2</v>
      </c>
      <c r="AI7">
        <v>0</v>
      </c>
      <c r="AJ7">
        <v>0</v>
      </c>
      <c r="AK7">
        <v>4</v>
      </c>
      <c r="AL7">
        <v>0</v>
      </c>
      <c r="AM7">
        <v>0</v>
      </c>
      <c r="AN7">
        <v>0</v>
      </c>
      <c r="AO7">
        <v>0</v>
      </c>
      <c r="AP7">
        <v>10</v>
      </c>
      <c r="AQ7">
        <v>6</v>
      </c>
      <c r="AR7">
        <v>9</v>
      </c>
      <c r="AS7">
        <v>0</v>
      </c>
      <c r="AT7">
        <v>2</v>
      </c>
      <c r="AU7">
        <v>1</v>
      </c>
      <c r="AV7">
        <v>2</v>
      </c>
      <c r="AW7">
        <v>0</v>
      </c>
      <c r="AX7">
        <v>6</v>
      </c>
      <c r="AY7">
        <v>1</v>
      </c>
      <c r="AZ7">
        <v>2</v>
      </c>
      <c r="BA7">
        <f t="shared" si="3"/>
        <v>110</v>
      </c>
      <c r="BB7">
        <f t="shared" si="1"/>
        <v>26</v>
      </c>
      <c r="BC7">
        <f t="shared" si="2"/>
        <v>24</v>
      </c>
    </row>
    <row r="8" spans="1:55" x14ac:dyDescent="0.3">
      <c r="A8" s="1">
        <v>46311</v>
      </c>
      <c r="B8">
        <v>4</v>
      </c>
      <c r="C8">
        <v>0</v>
      </c>
      <c r="D8">
        <v>0</v>
      </c>
      <c r="E8">
        <v>2</v>
      </c>
      <c r="F8">
        <v>0</v>
      </c>
      <c r="G8">
        <v>0</v>
      </c>
      <c r="H8">
        <v>2</v>
      </c>
      <c r="I8">
        <v>3</v>
      </c>
      <c r="J8">
        <v>2</v>
      </c>
      <c r="K8">
        <v>2</v>
      </c>
      <c r="L8">
        <v>0</v>
      </c>
      <c r="M8">
        <v>1</v>
      </c>
      <c r="N8">
        <v>0</v>
      </c>
      <c r="O8">
        <v>2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4</v>
      </c>
      <c r="AC8">
        <v>36</v>
      </c>
      <c r="AD8">
        <v>24</v>
      </c>
      <c r="AE8">
        <v>4</v>
      </c>
      <c r="AF8">
        <v>4</v>
      </c>
      <c r="AG8">
        <v>10</v>
      </c>
      <c r="AH8">
        <v>0</v>
      </c>
      <c r="AI8">
        <v>5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6</v>
      </c>
      <c r="AQ8">
        <v>5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2</v>
      </c>
      <c r="AY8">
        <v>0</v>
      </c>
      <c r="AZ8">
        <v>0</v>
      </c>
      <c r="BA8">
        <f t="shared" si="3"/>
        <v>114</v>
      </c>
      <c r="BB8">
        <f t="shared" si="1"/>
        <v>33</v>
      </c>
      <c r="BC8">
        <f t="shared" si="2"/>
        <v>17</v>
      </c>
    </row>
    <row r="9" spans="1:55" x14ac:dyDescent="0.3">
      <c r="A9" s="1">
        <v>46312</v>
      </c>
      <c r="B9">
        <v>4</v>
      </c>
      <c r="C9">
        <v>1</v>
      </c>
      <c r="D9">
        <v>1</v>
      </c>
      <c r="E9">
        <v>2</v>
      </c>
      <c r="F9">
        <v>0</v>
      </c>
      <c r="G9">
        <v>1</v>
      </c>
      <c r="H9">
        <v>0</v>
      </c>
      <c r="I9">
        <v>6</v>
      </c>
      <c r="J9">
        <v>5</v>
      </c>
      <c r="K9">
        <v>3</v>
      </c>
      <c r="L9">
        <v>4</v>
      </c>
      <c r="M9">
        <v>0</v>
      </c>
      <c r="N9">
        <v>1</v>
      </c>
      <c r="O9">
        <v>4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4</v>
      </c>
      <c r="AC9">
        <v>72</v>
      </c>
      <c r="AD9">
        <v>36</v>
      </c>
      <c r="AE9">
        <v>10</v>
      </c>
      <c r="AF9">
        <v>6</v>
      </c>
      <c r="AG9">
        <v>12</v>
      </c>
      <c r="AH9">
        <v>1</v>
      </c>
      <c r="AI9">
        <v>0</v>
      </c>
      <c r="AJ9">
        <v>1</v>
      </c>
      <c r="AK9">
        <v>1</v>
      </c>
      <c r="AL9">
        <v>0</v>
      </c>
      <c r="AM9">
        <v>1</v>
      </c>
      <c r="AN9">
        <v>0</v>
      </c>
      <c r="AO9">
        <v>0</v>
      </c>
      <c r="AP9">
        <v>20</v>
      </c>
      <c r="AQ9">
        <v>5</v>
      </c>
      <c r="AR9">
        <v>0</v>
      </c>
      <c r="AS9">
        <v>1</v>
      </c>
      <c r="AT9">
        <v>2</v>
      </c>
      <c r="AU9">
        <v>1</v>
      </c>
      <c r="AV9">
        <v>3</v>
      </c>
      <c r="AW9">
        <v>1</v>
      </c>
      <c r="AX9">
        <v>4</v>
      </c>
      <c r="AY9">
        <v>0</v>
      </c>
      <c r="AZ9">
        <v>0</v>
      </c>
      <c r="BA9">
        <f t="shared" si="3"/>
        <v>209</v>
      </c>
      <c r="BB9">
        <f t="shared" si="1"/>
        <v>22</v>
      </c>
      <c r="BC9">
        <f t="shared" si="2"/>
        <v>28</v>
      </c>
    </row>
    <row r="10" spans="1:55" x14ac:dyDescent="0.3">
      <c r="A10" s="1">
        <v>46313</v>
      </c>
      <c r="B10">
        <v>3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2</v>
      </c>
      <c r="M10">
        <v>4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50</v>
      </c>
      <c r="AD10">
        <v>26</v>
      </c>
      <c r="AE10">
        <v>0</v>
      </c>
      <c r="AF10">
        <v>16</v>
      </c>
      <c r="AG10">
        <v>0</v>
      </c>
      <c r="AH10">
        <v>2</v>
      </c>
      <c r="AI10">
        <v>1</v>
      </c>
      <c r="AJ10">
        <v>0</v>
      </c>
      <c r="AK10">
        <v>1</v>
      </c>
      <c r="AL10">
        <v>0</v>
      </c>
      <c r="AM10">
        <v>1</v>
      </c>
      <c r="AN10">
        <v>0</v>
      </c>
      <c r="AO10">
        <v>0</v>
      </c>
      <c r="AP10">
        <v>6</v>
      </c>
      <c r="AQ10">
        <v>3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f t="shared" si="3"/>
        <v>115</v>
      </c>
      <c r="BB10">
        <f t="shared" si="1"/>
        <v>36</v>
      </c>
      <c r="BC10">
        <f t="shared" si="2"/>
        <v>14</v>
      </c>
    </row>
    <row r="11" spans="1:55" x14ac:dyDescent="0.3">
      <c r="A11" s="1">
        <v>46318</v>
      </c>
      <c r="BA11">
        <f t="shared" si="3"/>
        <v>0</v>
      </c>
      <c r="BB11">
        <f t="shared" si="1"/>
        <v>0</v>
      </c>
      <c r="BC11">
        <f t="shared" si="2"/>
        <v>0</v>
      </c>
    </row>
    <row r="12" spans="1:55" x14ac:dyDescent="0.3">
      <c r="A12" s="1">
        <v>46319</v>
      </c>
      <c r="BA12">
        <f t="shared" si="3"/>
        <v>0</v>
      </c>
      <c r="BB12">
        <f t="shared" si="1"/>
        <v>0</v>
      </c>
      <c r="BC12">
        <f t="shared" si="2"/>
        <v>0</v>
      </c>
    </row>
    <row r="13" spans="1:55" x14ac:dyDescent="0.3">
      <c r="A13" s="1">
        <v>46320</v>
      </c>
      <c r="BA13">
        <f t="shared" si="3"/>
        <v>0</v>
      </c>
      <c r="BB13">
        <f t="shared" si="1"/>
        <v>0</v>
      </c>
      <c r="BC13">
        <f t="shared" si="2"/>
        <v>0</v>
      </c>
    </row>
    <row r="14" spans="1:55" x14ac:dyDescent="0.3">
      <c r="A14" s="1">
        <v>46325</v>
      </c>
      <c r="BA14">
        <f t="shared" si="3"/>
        <v>0</v>
      </c>
      <c r="BB14">
        <f t="shared" si="1"/>
        <v>0</v>
      </c>
      <c r="BC14">
        <f t="shared" si="2"/>
        <v>0</v>
      </c>
    </row>
    <row r="15" spans="1:55" x14ac:dyDescent="0.3">
      <c r="A15" s="1">
        <v>46326</v>
      </c>
      <c r="BA15">
        <f t="shared" si="3"/>
        <v>0</v>
      </c>
      <c r="BB15">
        <f t="shared" si="1"/>
        <v>0</v>
      </c>
      <c r="BC15">
        <f t="shared" si="2"/>
        <v>0</v>
      </c>
    </row>
    <row r="16" spans="1:55" x14ac:dyDescent="0.3">
      <c r="A16" s="1">
        <v>46327</v>
      </c>
      <c r="BA16">
        <f t="shared" si="3"/>
        <v>0</v>
      </c>
      <c r="BB16">
        <f t="shared" si="1"/>
        <v>0</v>
      </c>
      <c r="BC16">
        <f t="shared" si="2"/>
        <v>0</v>
      </c>
    </row>
    <row r="17" spans="53:55" x14ac:dyDescent="0.3">
      <c r="BA17" t="s">
        <v>65</v>
      </c>
      <c r="BB17" t="s">
        <v>65</v>
      </c>
      <c r="BC17" t="s">
        <v>65</v>
      </c>
    </row>
    <row r="18" spans="53:55" x14ac:dyDescent="0.3">
      <c r="BA18">
        <f>SUM(C2:AZ16)</f>
        <v>1403</v>
      </c>
      <c r="BB18">
        <f>COUNTIF(C2:AZ16,0)</f>
        <v>252</v>
      </c>
      <c r="BC18">
        <f>COUNTIF(C2:AZ16,"&gt;0")</f>
        <v>198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Catalogue</vt:lpstr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Mreza Ebi</dc:creator>
  <cp:lastModifiedBy>UG-Ebrahimy, Mohammad</cp:lastModifiedBy>
  <dcterms:created xsi:type="dcterms:W3CDTF">2015-06-05T18:17:20Z</dcterms:created>
  <dcterms:modified xsi:type="dcterms:W3CDTF">2026-10-23T11:09:28Z</dcterms:modified>
</cp:coreProperties>
</file>