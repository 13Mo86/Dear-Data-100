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GitHub\Dear Data 100\"/>
    </mc:Choice>
  </mc:AlternateContent>
  <xr:revisionPtr revIDLastSave="0" documentId="13_ncr:1_{DC2206A8-C704-46F1-A3BB-A39DF5028954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Catalogue" sheetId="4" r:id="rId1"/>
    <sheet name="Record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A2" i="1" l="1"/>
  <c r="BA3" i="1"/>
  <c r="BA4" i="1"/>
  <c r="BA8" i="1"/>
  <c r="BA9" i="1"/>
  <c r="BA10" i="1"/>
  <c r="BA11" i="1"/>
  <c r="BA12" i="1"/>
  <c r="BA13" i="1"/>
  <c r="BA14" i="1"/>
  <c r="BA15" i="1"/>
  <c r="BA16" i="1"/>
  <c r="BC18" i="1"/>
  <c r="BB18" i="1"/>
  <c r="BA18" i="1"/>
  <c r="BC8" i="1"/>
  <c r="BC9" i="1"/>
  <c r="BC10" i="1"/>
  <c r="BC11" i="1"/>
  <c r="BC12" i="1"/>
  <c r="BC13" i="1"/>
  <c r="BC14" i="1"/>
  <c r="BC15" i="1"/>
  <c r="BC16" i="1"/>
  <c r="BB8" i="1"/>
  <c r="BB9" i="1"/>
  <c r="BB10" i="1"/>
  <c r="BB11" i="1"/>
  <c r="BB12" i="1"/>
  <c r="BB13" i="1"/>
  <c r="BB14" i="1"/>
  <c r="BB15" i="1"/>
  <c r="BB16" i="1"/>
  <c r="BC3" i="1"/>
  <c r="BC4" i="1"/>
  <c r="BC5" i="1"/>
  <c r="BC6" i="1"/>
  <c r="BC7" i="1"/>
  <c r="BC2" i="1"/>
  <c r="BB3" i="1"/>
  <c r="BB4" i="1"/>
  <c r="BB5" i="1"/>
  <c r="BB6" i="1"/>
  <c r="BB7" i="1"/>
  <c r="BB2" i="1"/>
  <c r="BA6" i="1"/>
  <c r="BA7" i="1"/>
  <c r="BA5" i="1"/>
</calcChain>
</file>

<file path=xl/sharedStrings.xml><?xml version="1.0" encoding="utf-8"?>
<sst xmlns="http://schemas.openxmlformats.org/spreadsheetml/2006/main" count="161" uniqueCount="66">
  <si>
    <t>Category</t>
  </si>
  <si>
    <t>Date</t>
  </si>
  <si>
    <t>Busyness(1-5)</t>
  </si>
  <si>
    <t xml:space="preserve">Drink Name </t>
  </si>
  <si>
    <t>Difficulty(1-5)</t>
  </si>
  <si>
    <t>Aperol Spritz</t>
  </si>
  <si>
    <t>Campari Spritz</t>
  </si>
  <si>
    <t>Espresso Martini</t>
  </si>
  <si>
    <t>Cosmopolitan</t>
  </si>
  <si>
    <t>Bramble</t>
  </si>
  <si>
    <t>Boulivardier</t>
  </si>
  <si>
    <t>Negroni</t>
  </si>
  <si>
    <t>Margarita</t>
  </si>
  <si>
    <t>Old Fashioned</t>
  </si>
  <si>
    <t>Whiskey Sour</t>
  </si>
  <si>
    <t>Amaretto Sour</t>
  </si>
  <si>
    <t>Long Island Iced Tea</t>
  </si>
  <si>
    <t>Gin &amp; Tonic</t>
  </si>
  <si>
    <t>Campari Soda</t>
  </si>
  <si>
    <t>Americano</t>
  </si>
  <si>
    <t>Negroni Sbagliato</t>
  </si>
  <si>
    <t>Limoncello Spritz</t>
  </si>
  <si>
    <t>Rossini</t>
  </si>
  <si>
    <t>Rum &amp;Coke</t>
  </si>
  <si>
    <t>Gin Martini</t>
  </si>
  <si>
    <t>Vodka Martini</t>
  </si>
  <si>
    <t>Dirty Gin Martini</t>
  </si>
  <si>
    <t>Dirty Vodka Martini</t>
  </si>
  <si>
    <t>Margarita On the Rocks</t>
  </si>
  <si>
    <t>Red Wine</t>
  </si>
  <si>
    <t>White Wine</t>
  </si>
  <si>
    <t>Rose Wine</t>
  </si>
  <si>
    <t>Sparkling Wine</t>
  </si>
  <si>
    <t>Beer</t>
  </si>
  <si>
    <t>Gin Martini On the Rocks</t>
  </si>
  <si>
    <t>Vodka Martini On the Rocks</t>
  </si>
  <si>
    <t>Cocktail</t>
  </si>
  <si>
    <t>Mixed Drink</t>
  </si>
  <si>
    <t>Wine</t>
  </si>
  <si>
    <t>Moretti</t>
  </si>
  <si>
    <t>Moretti Alcohol Free</t>
  </si>
  <si>
    <t xml:space="preserve">Peroni </t>
  </si>
  <si>
    <t>Soft Drink</t>
  </si>
  <si>
    <t>Diet Coke</t>
  </si>
  <si>
    <t>Coke Zero</t>
  </si>
  <si>
    <t>Lemonade</t>
  </si>
  <si>
    <t>Tonic Water</t>
  </si>
  <si>
    <t>Soda Water</t>
  </si>
  <si>
    <t>Orange Juice</t>
  </si>
  <si>
    <t>Apple Juice</t>
  </si>
  <si>
    <t>Pineapple Juice</t>
  </si>
  <si>
    <t>Cranberry Juice</t>
  </si>
  <si>
    <t>Mojito</t>
  </si>
  <si>
    <t xml:space="preserve">Cocktail </t>
  </si>
  <si>
    <t>Bloody Mary</t>
  </si>
  <si>
    <t>Summer Passion</t>
  </si>
  <si>
    <t>Home Sweet Home</t>
  </si>
  <si>
    <t>Mocktail</t>
  </si>
  <si>
    <t>Coca Cola</t>
  </si>
  <si>
    <t>Peach juice</t>
  </si>
  <si>
    <t>Virgin Bloody Mary</t>
  </si>
  <si>
    <t>Virgin Mojito</t>
  </si>
  <si>
    <t>Total Drinks</t>
  </si>
  <si>
    <t>empty</t>
  </si>
  <si>
    <t>full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</si>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</sst>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" fontId="0" fillId="0" borderId="0" xfId="0" applyNumberFormat="1"/>
    <xf numFmtId="1" fontId="0" fillId="0" borderId="0" xfId="0" applyNumberForma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2B8EC-C2E9-4926-9996-2A4C8052B322}">
  <dimension ref="A1:C51"/>
  <sheetViews>
    <sheetView workbookViewId="0">
      <selection activeCell="C56" sqref="C56"/>
    </sheetView>
  </sheetViews>
  <sheetFormatPr defaultRowHeight="14.4" x14ac:dyDescent="0.3"/>
  <cols>
    <col min="1" max="1" width="25.5546875" customWidth="1"/>
    <col min="2" max="2" width="11.33203125" customWidth="1"/>
    <col min="3" max="3" width="12.5546875" customWidth="1"/>
  </cols>
  <sheetData>
    <row r="1" spans="1:3" x14ac:dyDescent="0.3">
      <c r="A1" t="s">
        <v>3</v>
      </c>
      <c r="B1" t="s">
        <v>0</v>
      </c>
      <c r="C1" t="s">
        <v>4</v>
      </c>
    </row>
    <row r="2" spans="1:3" x14ac:dyDescent="0.3">
      <c r="A2" t="s">
        <v>5</v>
      </c>
      <c r="B2" t="s">
        <v>36</v>
      </c>
      <c r="C2">
        <v>2</v>
      </c>
    </row>
    <row r="3" spans="1:3" x14ac:dyDescent="0.3">
      <c r="A3" t="s">
        <v>6</v>
      </c>
      <c r="B3" t="s">
        <v>36</v>
      </c>
      <c r="C3">
        <v>2</v>
      </c>
    </row>
    <row r="4" spans="1:3" x14ac:dyDescent="0.3">
      <c r="A4" t="s">
        <v>7</v>
      </c>
      <c r="B4" t="s">
        <v>36</v>
      </c>
      <c r="C4">
        <v>4</v>
      </c>
    </row>
    <row r="5" spans="1:3" x14ac:dyDescent="0.3">
      <c r="A5" t="s">
        <v>8</v>
      </c>
      <c r="B5" t="s">
        <v>36</v>
      </c>
      <c r="C5">
        <v>3</v>
      </c>
    </row>
    <row r="6" spans="1:3" x14ac:dyDescent="0.3">
      <c r="A6" t="s">
        <v>9</v>
      </c>
      <c r="B6" t="s">
        <v>36</v>
      </c>
      <c r="C6">
        <v>3</v>
      </c>
    </row>
    <row r="7" spans="1:3" x14ac:dyDescent="0.3">
      <c r="A7" t="s">
        <v>10</v>
      </c>
      <c r="B7" t="s">
        <v>36</v>
      </c>
      <c r="C7">
        <v>2</v>
      </c>
    </row>
    <row r="8" spans="1:3" x14ac:dyDescent="0.3">
      <c r="A8" t="s">
        <v>11</v>
      </c>
      <c r="B8" t="s">
        <v>36</v>
      </c>
      <c r="C8">
        <v>2</v>
      </c>
    </row>
    <row r="9" spans="1:3" x14ac:dyDescent="0.3">
      <c r="A9" t="s">
        <v>12</v>
      </c>
      <c r="B9" t="s">
        <v>36</v>
      </c>
      <c r="C9">
        <v>3</v>
      </c>
    </row>
    <row r="10" spans="1:3" x14ac:dyDescent="0.3">
      <c r="A10" t="s">
        <v>13</v>
      </c>
      <c r="B10" t="s">
        <v>36</v>
      </c>
      <c r="C10">
        <v>2</v>
      </c>
    </row>
    <row r="11" spans="1:3" x14ac:dyDescent="0.3">
      <c r="A11" t="s">
        <v>14</v>
      </c>
      <c r="B11" t="s">
        <v>36</v>
      </c>
      <c r="C11">
        <v>5</v>
      </c>
    </row>
    <row r="12" spans="1:3" x14ac:dyDescent="0.3">
      <c r="A12" t="s">
        <v>15</v>
      </c>
      <c r="B12" t="s">
        <v>36</v>
      </c>
      <c r="C12">
        <v>5</v>
      </c>
    </row>
    <row r="13" spans="1:3" x14ac:dyDescent="0.3">
      <c r="A13" t="s">
        <v>16</v>
      </c>
      <c r="B13" t="s">
        <v>36</v>
      </c>
      <c r="C13">
        <v>3</v>
      </c>
    </row>
    <row r="14" spans="1:3" x14ac:dyDescent="0.3">
      <c r="A14" t="s">
        <v>17</v>
      </c>
      <c r="B14" t="s">
        <v>37</v>
      </c>
      <c r="C14">
        <v>2</v>
      </c>
    </row>
    <row r="15" spans="1:3" x14ac:dyDescent="0.3">
      <c r="A15" t="s">
        <v>18</v>
      </c>
      <c r="B15" t="s">
        <v>37</v>
      </c>
      <c r="C15">
        <v>2</v>
      </c>
    </row>
    <row r="16" spans="1:3" x14ac:dyDescent="0.3">
      <c r="A16" t="s">
        <v>19</v>
      </c>
      <c r="B16" t="s">
        <v>36</v>
      </c>
      <c r="C16">
        <v>2</v>
      </c>
    </row>
    <row r="17" spans="1:3" x14ac:dyDescent="0.3">
      <c r="A17" t="s">
        <v>20</v>
      </c>
      <c r="B17" t="s">
        <v>36</v>
      </c>
      <c r="C17">
        <v>2</v>
      </c>
    </row>
    <row r="18" spans="1:3" x14ac:dyDescent="0.3">
      <c r="A18" t="s">
        <v>21</v>
      </c>
      <c r="B18" t="s">
        <v>36</v>
      </c>
      <c r="C18">
        <v>2</v>
      </c>
    </row>
    <row r="19" spans="1:3" x14ac:dyDescent="0.3">
      <c r="A19" t="s">
        <v>22</v>
      </c>
      <c r="B19" t="s">
        <v>36</v>
      </c>
      <c r="C19">
        <v>2</v>
      </c>
    </row>
    <row r="20" spans="1:3" x14ac:dyDescent="0.3">
      <c r="A20" t="s">
        <v>23</v>
      </c>
      <c r="B20" t="s">
        <v>36</v>
      </c>
      <c r="C20">
        <v>2</v>
      </c>
    </row>
    <row r="21" spans="1:3" x14ac:dyDescent="0.3">
      <c r="A21" t="s">
        <v>24</v>
      </c>
      <c r="B21" t="s">
        <v>36</v>
      </c>
      <c r="C21">
        <v>2</v>
      </c>
    </row>
    <row r="22" spans="1:3" x14ac:dyDescent="0.3">
      <c r="A22" t="s">
        <v>25</v>
      </c>
      <c r="B22" t="s">
        <v>36</v>
      </c>
      <c r="C22">
        <v>2</v>
      </c>
    </row>
    <row r="23" spans="1:3" x14ac:dyDescent="0.3">
      <c r="A23" t="s">
        <v>26</v>
      </c>
      <c r="B23" t="s">
        <v>36</v>
      </c>
      <c r="C23">
        <v>3</v>
      </c>
    </row>
    <row r="24" spans="1:3" x14ac:dyDescent="0.3">
      <c r="A24" t="s">
        <v>27</v>
      </c>
      <c r="B24" t="s">
        <v>36</v>
      </c>
      <c r="C24">
        <v>3</v>
      </c>
    </row>
    <row r="25" spans="1:3" x14ac:dyDescent="0.3">
      <c r="A25" t="s">
        <v>34</v>
      </c>
      <c r="B25" t="s">
        <v>36</v>
      </c>
      <c r="C25">
        <v>2</v>
      </c>
    </row>
    <row r="26" spans="1:3" x14ac:dyDescent="0.3">
      <c r="A26" t="s">
        <v>35</v>
      </c>
      <c r="B26" t="s">
        <v>36</v>
      </c>
      <c r="C26">
        <v>2</v>
      </c>
    </row>
    <row r="27" spans="1:3" x14ac:dyDescent="0.3">
      <c r="A27" t="s">
        <v>28</v>
      </c>
      <c r="B27" t="s">
        <v>36</v>
      </c>
      <c r="C27">
        <v>3</v>
      </c>
    </row>
    <row r="28" spans="1:3" x14ac:dyDescent="0.3">
      <c r="A28" t="s">
        <v>29</v>
      </c>
      <c r="B28" t="s">
        <v>38</v>
      </c>
      <c r="C28">
        <v>1</v>
      </c>
    </row>
    <row r="29" spans="1:3" x14ac:dyDescent="0.3">
      <c r="A29" t="s">
        <v>30</v>
      </c>
      <c r="B29" t="s">
        <v>38</v>
      </c>
      <c r="C29">
        <v>1</v>
      </c>
    </row>
    <row r="30" spans="1:3" x14ac:dyDescent="0.3">
      <c r="A30" t="s">
        <v>31</v>
      </c>
      <c r="B30" t="s">
        <v>38</v>
      </c>
      <c r="C30">
        <v>1</v>
      </c>
    </row>
    <row r="31" spans="1:3" x14ac:dyDescent="0.3">
      <c r="A31" t="s">
        <v>32</v>
      </c>
      <c r="B31" t="s">
        <v>38</v>
      </c>
      <c r="C31">
        <v>1</v>
      </c>
    </row>
    <row r="32" spans="1:3" x14ac:dyDescent="0.3">
      <c r="A32" t="s">
        <v>39</v>
      </c>
      <c r="B32" t="s">
        <v>33</v>
      </c>
      <c r="C32">
        <v>1</v>
      </c>
    </row>
    <row r="33" spans="1:3" x14ac:dyDescent="0.3">
      <c r="A33" t="s">
        <v>40</v>
      </c>
      <c r="B33" t="s">
        <v>33</v>
      </c>
      <c r="C33">
        <v>1</v>
      </c>
    </row>
    <row r="34" spans="1:3" x14ac:dyDescent="0.3">
      <c r="A34" t="s">
        <v>41</v>
      </c>
      <c r="B34" t="s">
        <v>33</v>
      </c>
      <c r="C34">
        <v>1</v>
      </c>
    </row>
    <row r="35" spans="1:3" x14ac:dyDescent="0.3">
      <c r="A35" t="s">
        <v>52</v>
      </c>
      <c r="B35" t="s">
        <v>53</v>
      </c>
      <c r="C35">
        <v>4</v>
      </c>
    </row>
    <row r="36" spans="1:3" x14ac:dyDescent="0.3">
      <c r="A36" t="s">
        <v>54</v>
      </c>
      <c r="B36" t="s">
        <v>36</v>
      </c>
      <c r="C36">
        <v>4</v>
      </c>
    </row>
    <row r="37" spans="1:3" x14ac:dyDescent="0.3">
      <c r="A37" t="s">
        <v>61</v>
      </c>
      <c r="B37" t="s">
        <v>57</v>
      </c>
      <c r="C37">
        <v>4</v>
      </c>
    </row>
    <row r="38" spans="1:3" x14ac:dyDescent="0.3">
      <c r="A38" t="s">
        <v>60</v>
      </c>
      <c r="B38" t="s">
        <v>57</v>
      </c>
      <c r="C38">
        <v>4</v>
      </c>
    </row>
    <row r="39" spans="1:3" x14ac:dyDescent="0.3">
      <c r="A39" t="s">
        <v>55</v>
      </c>
      <c r="B39" t="s">
        <v>57</v>
      </c>
      <c r="C39">
        <v>3</v>
      </c>
    </row>
    <row r="40" spans="1:3" x14ac:dyDescent="0.3">
      <c r="A40" t="s">
        <v>56</v>
      </c>
      <c r="B40" t="s">
        <v>57</v>
      </c>
      <c r="C40">
        <v>3</v>
      </c>
    </row>
    <row r="41" spans="1:3" x14ac:dyDescent="0.3">
      <c r="A41" t="s">
        <v>58</v>
      </c>
      <c r="B41" t="s">
        <v>42</v>
      </c>
      <c r="C41">
        <v>1</v>
      </c>
    </row>
    <row r="42" spans="1:3" x14ac:dyDescent="0.3">
      <c r="A42" t="s">
        <v>44</v>
      </c>
      <c r="B42" t="s">
        <v>42</v>
      </c>
      <c r="C42">
        <v>1</v>
      </c>
    </row>
    <row r="43" spans="1:3" x14ac:dyDescent="0.3">
      <c r="A43" t="s">
        <v>43</v>
      </c>
      <c r="B43" t="s">
        <v>42</v>
      </c>
      <c r="C43">
        <v>1</v>
      </c>
    </row>
    <row r="44" spans="1:3" x14ac:dyDescent="0.3">
      <c r="A44" t="s">
        <v>59</v>
      </c>
      <c r="B44" t="s">
        <v>42</v>
      </c>
      <c r="C44">
        <v>1</v>
      </c>
    </row>
    <row r="45" spans="1:3" x14ac:dyDescent="0.3">
      <c r="A45" t="s">
        <v>49</v>
      </c>
      <c r="B45" t="s">
        <v>42</v>
      </c>
      <c r="C45">
        <v>1</v>
      </c>
    </row>
    <row r="46" spans="1:3" x14ac:dyDescent="0.3">
      <c r="A46" t="s">
        <v>48</v>
      </c>
      <c r="B46" t="s">
        <v>42</v>
      </c>
      <c r="C46">
        <v>1</v>
      </c>
    </row>
    <row r="47" spans="1:3" x14ac:dyDescent="0.3">
      <c r="A47" t="s">
        <v>50</v>
      </c>
      <c r="B47" t="s">
        <v>42</v>
      </c>
      <c r="C47">
        <v>1</v>
      </c>
    </row>
    <row r="48" spans="1:3" x14ac:dyDescent="0.3">
      <c r="A48" t="s">
        <v>51</v>
      </c>
      <c r="B48" t="s">
        <v>42</v>
      </c>
      <c r="C48">
        <v>1</v>
      </c>
    </row>
    <row r="49" spans="1:3" x14ac:dyDescent="0.3">
      <c r="A49" t="s">
        <v>45</v>
      </c>
      <c r="B49" t="s">
        <v>42</v>
      </c>
      <c r="C49">
        <v>1</v>
      </c>
    </row>
    <row r="50" spans="1:3" x14ac:dyDescent="0.3">
      <c r="A50" t="s">
        <v>46</v>
      </c>
      <c r="B50" t="s">
        <v>42</v>
      </c>
      <c r="C50">
        <v>1</v>
      </c>
    </row>
    <row r="51" spans="1:3" x14ac:dyDescent="0.3">
      <c r="A51" t="s">
        <v>47</v>
      </c>
      <c r="B51" t="s">
        <v>42</v>
      </c>
      <c r="C5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20"/>
  <sheetViews>
    <sheetView tabSelected="1" workbookViewId="0">
      <selection activeCell="E26" sqref="E26"/>
    </sheetView>
  </sheetViews>
  <sheetFormatPr defaultRowHeight="14.4" x14ac:dyDescent="0.3"/>
  <cols>
    <col min="1" max="1" width="10.77734375" customWidth="1"/>
    <col min="2" max="2" width="12.6640625" customWidth="1"/>
    <col min="3" max="3" width="12.5546875" customWidth="1"/>
    <col min="4" max="4" width="13.88671875" customWidth="1"/>
    <col min="5" max="5" width="14.6640625" customWidth="1"/>
    <col min="6" max="6" width="14" customWidth="1"/>
    <col min="8" max="8" width="12" customWidth="1"/>
    <col min="11" max="11" width="15.21875" customWidth="1"/>
    <col min="12" max="12" width="12.44140625" customWidth="1"/>
    <col min="13" max="13" width="13.33203125" customWidth="1"/>
    <col min="14" max="14" width="18.88671875" customWidth="1"/>
    <col min="15" max="15" width="10.77734375" customWidth="1"/>
    <col min="16" max="16" width="12.5546875" customWidth="1"/>
    <col min="17" max="17" width="12" customWidth="1"/>
    <col min="18" max="18" width="15.5546875" customWidth="1"/>
    <col min="19" max="19" width="17.33203125" customWidth="1"/>
    <col min="20" max="20" width="7" customWidth="1"/>
    <col min="21" max="21" width="11" customWidth="1"/>
    <col min="22" max="22" width="11.6640625" customWidth="1"/>
    <col min="23" max="23" width="14.21875" customWidth="1"/>
    <col min="24" max="24" width="14.6640625" customWidth="1"/>
    <col min="25" max="25" width="18.44140625" customWidth="1"/>
    <col min="26" max="26" width="21.44140625" customWidth="1"/>
    <col min="27" max="27" width="24" customWidth="1"/>
    <col min="28" max="28" width="21.6640625" customWidth="1"/>
    <col min="30" max="30" width="11.77734375" customWidth="1"/>
    <col min="32" max="32" width="11.33203125" customWidth="1"/>
    <col min="33" max="33" width="10.5546875" customWidth="1"/>
    <col min="34" max="34" width="12.77734375" customWidth="1"/>
    <col min="37" max="37" width="13" customWidth="1"/>
    <col min="38" max="38" width="18.109375" customWidth="1"/>
    <col min="39" max="39" width="15.77734375" customWidth="1"/>
    <col min="40" max="40" width="18" customWidth="1"/>
    <col min="41" max="41" width="17.77734375" customWidth="1"/>
    <col min="42" max="42" width="9" customWidth="1"/>
    <col min="45" max="45" width="11" customWidth="1"/>
    <col min="46" max="46" width="11.88671875" customWidth="1"/>
    <col min="47" max="47" width="12.21875" customWidth="1"/>
    <col min="48" max="48" width="14.6640625" customWidth="1"/>
    <col min="49" max="49" width="15.5546875" customWidth="1"/>
    <col min="50" max="50" width="10.44140625" customWidth="1"/>
    <col min="51" max="51" width="11.44140625" customWidth="1"/>
    <col min="52" max="52" width="10.88671875" customWidth="1"/>
    <col min="53" max="53" width="11.88671875" customWidth="1"/>
  </cols>
  <sheetData>
    <row r="1" spans="1:55" x14ac:dyDescent="0.3">
      <c r="A1" t="s">
        <v>1</v>
      </c>
      <c r="B1" t="s">
        <v>2</v>
      </c>
      <c r="C1" s="3" t="s">
        <v>5</v>
      </c>
      <c r="D1" s="3" t="s">
        <v>6</v>
      </c>
      <c r="E1" s="3" t="s">
        <v>7</v>
      </c>
      <c r="F1" s="3" t="s">
        <v>8</v>
      </c>
      <c r="G1" s="3" t="s">
        <v>9</v>
      </c>
      <c r="H1" s="3" t="s">
        <v>10</v>
      </c>
      <c r="I1" s="3" t="s">
        <v>11</v>
      </c>
      <c r="J1" s="3" t="s">
        <v>12</v>
      </c>
      <c r="K1" s="3" t="s">
        <v>13</v>
      </c>
      <c r="L1" s="3" t="s">
        <v>14</v>
      </c>
      <c r="M1" s="3" t="s">
        <v>15</v>
      </c>
      <c r="N1" s="3" t="s">
        <v>16</v>
      </c>
      <c r="O1" s="3" t="s">
        <v>17</v>
      </c>
      <c r="P1" s="3" t="s">
        <v>18</v>
      </c>
      <c r="Q1" s="3" t="s">
        <v>19</v>
      </c>
      <c r="R1" s="3" t="s">
        <v>20</v>
      </c>
      <c r="S1" s="3" t="s">
        <v>21</v>
      </c>
      <c r="T1" s="3" t="s">
        <v>22</v>
      </c>
      <c r="U1" s="3" t="s">
        <v>23</v>
      </c>
      <c r="V1" s="3" t="s">
        <v>24</v>
      </c>
      <c r="W1" s="3" t="s">
        <v>25</v>
      </c>
      <c r="X1" s="3" t="s">
        <v>26</v>
      </c>
      <c r="Y1" s="3" t="s">
        <v>27</v>
      </c>
      <c r="Z1" s="3" t="s">
        <v>34</v>
      </c>
      <c r="AA1" s="3" t="s">
        <v>35</v>
      </c>
      <c r="AB1" s="3" t="s">
        <v>28</v>
      </c>
      <c r="AC1" s="3" t="s">
        <v>52</v>
      </c>
      <c r="AD1" s="3" t="s">
        <v>54</v>
      </c>
      <c r="AE1" s="4" t="s">
        <v>29</v>
      </c>
      <c r="AF1" s="4" t="s">
        <v>30</v>
      </c>
      <c r="AG1" s="4" t="s">
        <v>31</v>
      </c>
      <c r="AH1" s="4" t="s">
        <v>32</v>
      </c>
      <c r="AI1" s="4" t="s">
        <v>41</v>
      </c>
      <c r="AJ1" s="4" t="s">
        <v>39</v>
      </c>
      <c r="AK1" s="5" t="s">
        <v>61</v>
      </c>
      <c r="AL1" s="5" t="s">
        <v>60</v>
      </c>
      <c r="AM1" s="5" t="s">
        <v>55</v>
      </c>
      <c r="AN1" s="5" t="s">
        <v>56</v>
      </c>
      <c r="AO1" s="6" t="s">
        <v>40</v>
      </c>
      <c r="AP1" s="6" t="s">
        <v>58</v>
      </c>
      <c r="AQ1" s="6" t="s">
        <v>44</v>
      </c>
      <c r="AR1" s="6" t="s">
        <v>43</v>
      </c>
      <c r="AS1" s="6" t="s">
        <v>59</v>
      </c>
      <c r="AT1" s="6" t="s">
        <v>49</v>
      </c>
      <c r="AU1" s="6" t="s">
        <v>48</v>
      </c>
      <c r="AV1" s="6" t="s">
        <v>50</v>
      </c>
      <c r="AW1" s="6" t="s">
        <v>51</v>
      </c>
      <c r="AX1" s="6" t="s">
        <v>45</v>
      </c>
      <c r="AY1" s="6" t="s">
        <v>46</v>
      </c>
      <c r="AZ1" s="6" t="s">
        <v>47</v>
      </c>
      <c r="BA1" t="s">
        <v>62</v>
      </c>
      <c r="BB1" t="s">
        <v>63</v>
      </c>
      <c r="BC1" t="s">
        <v>64</v>
      </c>
    </row>
    <row r="2" spans="1:55" x14ac:dyDescent="0.3">
      <c r="A2" s="1">
        <v>46295</v>
      </c>
      <c r="B2">
        <v>3</v>
      </c>
      <c r="C2" s="3">
        <v>2</v>
      </c>
      <c r="D2" s="3">
        <v>0</v>
      </c>
      <c r="E2" s="3">
        <v>1</v>
      </c>
      <c r="F2" s="3">
        <v>2</v>
      </c>
      <c r="G2" s="3">
        <v>2</v>
      </c>
      <c r="H2" s="3">
        <v>1</v>
      </c>
      <c r="I2" s="3">
        <v>0</v>
      </c>
      <c r="J2" s="3">
        <v>4</v>
      </c>
      <c r="K2" s="3">
        <v>1</v>
      </c>
      <c r="L2" s="3">
        <v>0</v>
      </c>
      <c r="M2" s="3">
        <v>0</v>
      </c>
      <c r="N2" s="3">
        <v>0</v>
      </c>
      <c r="O2" s="3">
        <v>5</v>
      </c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2</v>
      </c>
      <c r="X2" s="3">
        <v>0</v>
      </c>
      <c r="Y2" s="3">
        <v>0</v>
      </c>
      <c r="Z2" s="3">
        <v>0</v>
      </c>
      <c r="AA2" s="3">
        <v>0</v>
      </c>
      <c r="AB2" s="3">
        <v>0</v>
      </c>
      <c r="AC2" s="3">
        <v>0</v>
      </c>
      <c r="AD2" s="3">
        <v>0</v>
      </c>
      <c r="AE2" s="4">
        <v>24</v>
      </c>
      <c r="AF2" s="4">
        <v>6</v>
      </c>
      <c r="AG2" s="4">
        <v>1</v>
      </c>
      <c r="AH2" s="4">
        <v>2</v>
      </c>
      <c r="AI2" s="4">
        <v>0</v>
      </c>
      <c r="AJ2" s="4">
        <v>4</v>
      </c>
      <c r="AK2" s="5">
        <v>0</v>
      </c>
      <c r="AL2" s="5">
        <v>0</v>
      </c>
      <c r="AM2" s="5">
        <v>0</v>
      </c>
      <c r="AN2" s="5">
        <v>0</v>
      </c>
      <c r="AO2" s="6">
        <v>0</v>
      </c>
      <c r="AP2" s="6">
        <v>15</v>
      </c>
      <c r="AQ2" s="6">
        <v>10</v>
      </c>
      <c r="AR2" s="6">
        <v>4</v>
      </c>
      <c r="AS2" s="6">
        <v>2</v>
      </c>
      <c r="AT2" s="6">
        <v>1</v>
      </c>
      <c r="AU2" s="6">
        <v>0</v>
      </c>
      <c r="AV2" s="6">
        <v>1</v>
      </c>
      <c r="AW2" s="6">
        <v>3</v>
      </c>
      <c r="AX2" s="6">
        <v>5</v>
      </c>
      <c r="AY2" s="6">
        <v>0</v>
      </c>
      <c r="AZ2" s="6">
        <v>0</v>
      </c>
      <c r="BA2">
        <f>SUM(C2:AZ2)</f>
        <v>98</v>
      </c>
      <c r="BB2">
        <f>COUNTIF(C2:AZ2,0)</f>
        <v>28</v>
      </c>
      <c r="BC2">
        <f>COUNTIF(C2:AZ2,"&gt;0")</f>
        <v>22</v>
      </c>
    </row>
    <row r="3" spans="1:55" x14ac:dyDescent="0.3">
      <c r="A3" s="1">
        <v>46296</v>
      </c>
      <c r="B3">
        <v>1</v>
      </c>
      <c r="C3" s="3">
        <v>1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2</v>
      </c>
      <c r="J3" s="3">
        <v>0</v>
      </c>
      <c r="K3" s="3">
        <v>1</v>
      </c>
      <c r="L3" s="3">
        <v>0</v>
      </c>
      <c r="M3" s="3">
        <v>0</v>
      </c>
      <c r="N3" s="3">
        <v>0</v>
      </c>
      <c r="O3" s="3">
        <v>2</v>
      </c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0</v>
      </c>
      <c r="AB3" s="3">
        <v>0</v>
      </c>
      <c r="AC3" s="3">
        <v>0</v>
      </c>
      <c r="AD3" s="3">
        <v>0</v>
      </c>
      <c r="AE3" s="4">
        <v>12</v>
      </c>
      <c r="AF3" s="4">
        <v>2</v>
      </c>
      <c r="AG3" s="4">
        <v>0</v>
      </c>
      <c r="AH3" s="4">
        <v>0</v>
      </c>
      <c r="AI3" s="4">
        <v>0</v>
      </c>
      <c r="AJ3" s="4">
        <v>2</v>
      </c>
      <c r="AK3" s="5">
        <v>0</v>
      </c>
      <c r="AL3" s="5">
        <v>0</v>
      </c>
      <c r="AM3" s="5">
        <v>0</v>
      </c>
      <c r="AN3" s="5">
        <v>0</v>
      </c>
      <c r="AO3" s="6">
        <v>0</v>
      </c>
      <c r="AP3" s="6">
        <v>5</v>
      </c>
      <c r="AQ3" s="6">
        <v>2</v>
      </c>
      <c r="AR3" s="6">
        <v>1</v>
      </c>
      <c r="AS3" s="6">
        <v>0</v>
      </c>
      <c r="AT3" s="6">
        <v>0</v>
      </c>
      <c r="AU3" s="6">
        <v>0</v>
      </c>
      <c r="AV3" s="6">
        <v>0</v>
      </c>
      <c r="AW3" s="6">
        <v>0</v>
      </c>
      <c r="AX3" s="6">
        <v>0</v>
      </c>
      <c r="AY3" s="6">
        <v>0</v>
      </c>
      <c r="AZ3" s="6">
        <v>0</v>
      </c>
      <c r="BA3">
        <f>SUM(C3:AZ3)</f>
        <v>30</v>
      </c>
      <c r="BB3">
        <f>COUNTIF(C3:AZ3,0)</f>
        <v>40</v>
      </c>
      <c r="BC3">
        <f>COUNTIF(C3:AZ3,"&gt;0")</f>
        <v>10</v>
      </c>
    </row>
    <row r="4" spans="1:55" x14ac:dyDescent="0.3">
      <c r="A4" s="1">
        <v>46297</v>
      </c>
      <c r="B4">
        <v>3</v>
      </c>
      <c r="C4" s="3">
        <v>4</v>
      </c>
      <c r="D4" s="3">
        <v>2</v>
      </c>
      <c r="E4" s="3">
        <v>5</v>
      </c>
      <c r="F4" s="3">
        <v>1</v>
      </c>
      <c r="G4" s="3">
        <v>0</v>
      </c>
      <c r="H4" s="3">
        <v>3</v>
      </c>
      <c r="I4" s="3">
        <v>1</v>
      </c>
      <c r="J4" s="3">
        <v>0</v>
      </c>
      <c r="K4" s="3">
        <v>7</v>
      </c>
      <c r="L4" s="3">
        <v>2</v>
      </c>
      <c r="M4" s="3">
        <v>0</v>
      </c>
      <c r="N4" s="3">
        <v>4</v>
      </c>
      <c r="O4" s="3">
        <v>7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10</v>
      </c>
      <c r="AC4" s="3">
        <v>0</v>
      </c>
      <c r="AD4" s="3">
        <v>0</v>
      </c>
      <c r="AE4" s="4">
        <v>84</v>
      </c>
      <c r="AF4" s="4">
        <v>18</v>
      </c>
      <c r="AG4" s="4">
        <v>6</v>
      </c>
      <c r="AH4" s="4">
        <v>36</v>
      </c>
      <c r="AI4" s="4">
        <v>24</v>
      </c>
      <c r="AJ4" s="4">
        <v>48</v>
      </c>
      <c r="AK4" s="5">
        <v>0</v>
      </c>
      <c r="AL4" s="5">
        <v>0</v>
      </c>
      <c r="AM4" s="5">
        <v>0</v>
      </c>
      <c r="AN4" s="5">
        <v>0</v>
      </c>
      <c r="AO4" s="6">
        <v>0</v>
      </c>
      <c r="AP4" s="6">
        <v>20</v>
      </c>
      <c r="AQ4" s="6">
        <v>1</v>
      </c>
      <c r="AR4" s="6">
        <v>0</v>
      </c>
      <c r="AS4" s="6">
        <v>0</v>
      </c>
      <c r="AT4" s="6">
        <v>0</v>
      </c>
      <c r="AU4" s="6">
        <v>0</v>
      </c>
      <c r="AV4" s="6">
        <v>0</v>
      </c>
      <c r="AW4" s="6">
        <v>0</v>
      </c>
      <c r="AX4" s="6">
        <v>0</v>
      </c>
      <c r="AY4" s="6">
        <v>0</v>
      </c>
      <c r="AZ4" s="6">
        <v>0</v>
      </c>
      <c r="BA4">
        <f>SUM(C4:AZ4)</f>
        <v>283</v>
      </c>
      <c r="BB4">
        <f>COUNTIF(C4:AZ4,0)</f>
        <v>31</v>
      </c>
      <c r="BC4">
        <f>COUNTIF(C4:AZ4,"&gt;0")</f>
        <v>19</v>
      </c>
    </row>
    <row r="5" spans="1:55" x14ac:dyDescent="0.3">
      <c r="A5" s="1">
        <v>46304</v>
      </c>
      <c r="B5" s="2">
        <v>3</v>
      </c>
      <c r="C5" s="3">
        <v>6</v>
      </c>
      <c r="D5" s="3">
        <v>2</v>
      </c>
      <c r="E5" s="3">
        <v>4</v>
      </c>
      <c r="F5" s="3">
        <v>1</v>
      </c>
      <c r="G5" s="3">
        <v>1</v>
      </c>
      <c r="H5" s="3">
        <v>0</v>
      </c>
      <c r="I5" s="3">
        <v>6</v>
      </c>
      <c r="J5" s="3">
        <v>0</v>
      </c>
      <c r="K5" s="3">
        <v>2</v>
      </c>
      <c r="L5" s="3">
        <v>0</v>
      </c>
      <c r="M5" s="3">
        <v>1</v>
      </c>
      <c r="N5" s="3">
        <v>1</v>
      </c>
      <c r="O5" s="3">
        <v>6</v>
      </c>
      <c r="P5" s="3">
        <v>0</v>
      </c>
      <c r="Q5" s="3">
        <v>0</v>
      </c>
      <c r="R5" s="3">
        <v>0</v>
      </c>
      <c r="S5" s="3">
        <v>1</v>
      </c>
      <c r="T5" s="3">
        <v>1</v>
      </c>
      <c r="U5" s="3">
        <v>2</v>
      </c>
      <c r="V5" s="3">
        <v>4</v>
      </c>
      <c r="W5" s="3">
        <v>2</v>
      </c>
      <c r="X5" s="3">
        <v>2</v>
      </c>
      <c r="Y5" s="3">
        <v>1</v>
      </c>
      <c r="Z5" s="3">
        <v>1</v>
      </c>
      <c r="AA5" s="3">
        <v>0</v>
      </c>
      <c r="AB5" s="3">
        <v>5</v>
      </c>
      <c r="AC5" s="3">
        <v>0</v>
      </c>
      <c r="AD5" s="3">
        <v>0</v>
      </c>
      <c r="AE5" s="4">
        <v>50</v>
      </c>
      <c r="AF5" s="4">
        <v>10</v>
      </c>
      <c r="AG5" s="4">
        <v>4</v>
      </c>
      <c r="AH5" s="4">
        <v>6</v>
      </c>
      <c r="AI5" s="4">
        <v>10</v>
      </c>
      <c r="AJ5" s="4">
        <v>30</v>
      </c>
      <c r="AK5" s="5">
        <v>4</v>
      </c>
      <c r="AL5" s="5">
        <v>0</v>
      </c>
      <c r="AM5" s="5">
        <v>0</v>
      </c>
      <c r="AN5" s="5">
        <v>0</v>
      </c>
      <c r="AO5" s="6">
        <v>1</v>
      </c>
      <c r="AP5" s="6">
        <v>15</v>
      </c>
      <c r="AQ5" s="6">
        <v>10</v>
      </c>
      <c r="AR5" s="6">
        <v>6</v>
      </c>
      <c r="AS5" s="6">
        <v>2</v>
      </c>
      <c r="AT5" s="6">
        <v>4</v>
      </c>
      <c r="AU5" s="6">
        <v>6</v>
      </c>
      <c r="AV5" s="6">
        <v>0</v>
      </c>
      <c r="AW5" s="6">
        <v>2</v>
      </c>
      <c r="AX5" s="6">
        <v>3</v>
      </c>
      <c r="AY5" s="6">
        <v>0</v>
      </c>
      <c r="AZ5" s="6">
        <v>0</v>
      </c>
      <c r="BA5">
        <f>SUM(C5:AZ5)</f>
        <v>212</v>
      </c>
      <c r="BB5">
        <f>COUNTIF(C5:AZ5,0)</f>
        <v>15</v>
      </c>
      <c r="BC5">
        <f>COUNTIF(C5:AZ5,"&gt;0")</f>
        <v>35</v>
      </c>
    </row>
    <row r="6" spans="1:55" x14ac:dyDescent="0.3">
      <c r="A6" s="1">
        <v>46305</v>
      </c>
      <c r="B6">
        <v>4</v>
      </c>
      <c r="C6" s="3">
        <v>4</v>
      </c>
      <c r="D6" s="3">
        <v>0</v>
      </c>
      <c r="E6" s="3">
        <v>10</v>
      </c>
      <c r="F6" s="3">
        <v>2</v>
      </c>
      <c r="G6" s="3">
        <v>1</v>
      </c>
      <c r="H6" s="3">
        <v>0</v>
      </c>
      <c r="I6" s="3">
        <v>10</v>
      </c>
      <c r="J6" s="3">
        <v>1</v>
      </c>
      <c r="K6" s="3">
        <v>4</v>
      </c>
      <c r="L6" s="3">
        <v>2</v>
      </c>
      <c r="M6" s="3">
        <v>0</v>
      </c>
      <c r="N6" s="3">
        <v>0</v>
      </c>
      <c r="O6" s="3">
        <v>16</v>
      </c>
      <c r="P6" s="3">
        <v>1</v>
      </c>
      <c r="Q6" s="3">
        <v>1</v>
      </c>
      <c r="R6" s="3">
        <v>0</v>
      </c>
      <c r="S6" s="3">
        <v>2</v>
      </c>
      <c r="T6" s="3">
        <v>0</v>
      </c>
      <c r="U6" s="3">
        <v>6</v>
      </c>
      <c r="V6" s="3">
        <v>2</v>
      </c>
      <c r="W6" s="3">
        <v>3</v>
      </c>
      <c r="X6" s="3">
        <v>0</v>
      </c>
      <c r="Y6" s="3">
        <v>0</v>
      </c>
      <c r="Z6" s="3">
        <v>2</v>
      </c>
      <c r="AA6" s="3">
        <v>0</v>
      </c>
      <c r="AB6" s="3">
        <v>4</v>
      </c>
      <c r="AC6" s="3">
        <v>1</v>
      </c>
      <c r="AD6" s="3">
        <v>0</v>
      </c>
      <c r="AE6" s="4">
        <v>70</v>
      </c>
      <c r="AF6" s="4">
        <v>8</v>
      </c>
      <c r="AG6" s="4">
        <v>2</v>
      </c>
      <c r="AH6" s="4">
        <v>4</v>
      </c>
      <c r="AI6" s="4">
        <v>15</v>
      </c>
      <c r="AJ6" s="4">
        <v>20</v>
      </c>
      <c r="AK6" s="5">
        <v>6</v>
      </c>
      <c r="AL6" s="5">
        <v>0</v>
      </c>
      <c r="AM6" s="5">
        <v>0</v>
      </c>
      <c r="AN6" s="5">
        <v>0</v>
      </c>
      <c r="AO6" s="6">
        <v>0</v>
      </c>
      <c r="AP6" s="6">
        <v>24</v>
      </c>
      <c r="AQ6" s="6">
        <v>5</v>
      </c>
      <c r="AR6" s="6">
        <v>0</v>
      </c>
      <c r="AS6" s="6">
        <v>0</v>
      </c>
      <c r="AT6" s="6">
        <v>5</v>
      </c>
      <c r="AU6" s="6">
        <v>0</v>
      </c>
      <c r="AV6" s="6">
        <v>0</v>
      </c>
      <c r="AW6" s="6">
        <v>0</v>
      </c>
      <c r="AX6" s="6">
        <v>1</v>
      </c>
      <c r="AY6" s="6">
        <v>0</v>
      </c>
      <c r="AZ6" s="6">
        <v>0</v>
      </c>
      <c r="BA6">
        <f t="shared" ref="BA6:BA16" si="0">SUM(C6:AZ6)</f>
        <v>232</v>
      </c>
      <c r="BB6">
        <f>COUNTIF(C6:AZ6,0)</f>
        <v>21</v>
      </c>
      <c r="BC6">
        <f>COUNTIF(C6:AZ6,"&gt;0")</f>
        <v>29</v>
      </c>
    </row>
    <row r="7" spans="1:55" x14ac:dyDescent="0.3">
      <c r="A7" s="1">
        <v>46306</v>
      </c>
      <c r="B7">
        <v>2</v>
      </c>
      <c r="C7" s="3">
        <v>2</v>
      </c>
      <c r="D7" s="3">
        <v>0</v>
      </c>
      <c r="E7" s="3">
        <v>2</v>
      </c>
      <c r="F7" s="3">
        <v>0</v>
      </c>
      <c r="G7" s="3">
        <v>0</v>
      </c>
      <c r="H7" s="3">
        <v>0</v>
      </c>
      <c r="I7" s="3">
        <v>0</v>
      </c>
      <c r="J7" s="3">
        <v>3</v>
      </c>
      <c r="K7" s="3">
        <v>1</v>
      </c>
      <c r="L7" s="3">
        <v>0</v>
      </c>
      <c r="M7" s="3">
        <v>0</v>
      </c>
      <c r="N7" s="3">
        <v>3</v>
      </c>
      <c r="O7" s="3">
        <v>6</v>
      </c>
      <c r="P7" s="3">
        <v>0</v>
      </c>
      <c r="Q7" s="3">
        <v>0</v>
      </c>
      <c r="R7" s="3">
        <v>1</v>
      </c>
      <c r="S7" s="3">
        <v>2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4</v>
      </c>
      <c r="AE7" s="4">
        <v>12</v>
      </c>
      <c r="AF7" s="4">
        <v>6</v>
      </c>
      <c r="AG7" s="4">
        <v>1</v>
      </c>
      <c r="AH7" s="4">
        <v>20</v>
      </c>
      <c r="AI7" s="4">
        <v>0</v>
      </c>
      <c r="AJ7" s="4">
        <v>6</v>
      </c>
      <c r="AK7" s="5">
        <v>0</v>
      </c>
      <c r="AL7" s="5">
        <v>0</v>
      </c>
      <c r="AM7" s="5">
        <v>0</v>
      </c>
      <c r="AN7" s="5">
        <v>0</v>
      </c>
      <c r="AO7" s="6">
        <v>2</v>
      </c>
      <c r="AP7" s="6">
        <v>10</v>
      </c>
      <c r="AQ7" s="6">
        <v>6</v>
      </c>
      <c r="AR7" s="6">
        <v>9</v>
      </c>
      <c r="AS7" s="6">
        <v>0</v>
      </c>
      <c r="AT7" s="6">
        <v>2</v>
      </c>
      <c r="AU7" s="6">
        <v>1</v>
      </c>
      <c r="AV7" s="6">
        <v>2</v>
      </c>
      <c r="AW7" s="6">
        <v>0</v>
      </c>
      <c r="AX7" s="6">
        <v>6</v>
      </c>
      <c r="AY7" s="6">
        <v>1</v>
      </c>
      <c r="AZ7" s="6">
        <v>2</v>
      </c>
      <c r="BA7">
        <f t="shared" si="0"/>
        <v>110</v>
      </c>
      <c r="BB7">
        <f>COUNTIF(C7:AZ7,0)</f>
        <v>26</v>
      </c>
      <c r="BC7">
        <f>COUNTIF(C7:AZ7,"&gt;0")</f>
        <v>24</v>
      </c>
    </row>
    <row r="8" spans="1:55" x14ac:dyDescent="0.3">
      <c r="A8" s="1">
        <v>46311</v>
      </c>
      <c r="B8">
        <v>4</v>
      </c>
      <c r="C8" s="3">
        <v>0</v>
      </c>
      <c r="D8" s="3">
        <v>0</v>
      </c>
      <c r="E8" s="3">
        <v>2</v>
      </c>
      <c r="F8" s="3">
        <v>0</v>
      </c>
      <c r="G8" s="3">
        <v>0</v>
      </c>
      <c r="H8" s="3">
        <v>2</v>
      </c>
      <c r="I8" s="3">
        <v>3</v>
      </c>
      <c r="J8" s="3">
        <v>2</v>
      </c>
      <c r="K8" s="3">
        <v>2</v>
      </c>
      <c r="L8" s="3">
        <v>0</v>
      </c>
      <c r="M8" s="3">
        <v>1</v>
      </c>
      <c r="N8" s="3">
        <v>0</v>
      </c>
      <c r="O8" s="3">
        <v>2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4</v>
      </c>
      <c r="AC8" s="3">
        <v>0</v>
      </c>
      <c r="AD8" s="3">
        <v>0</v>
      </c>
      <c r="AE8" s="4">
        <v>36</v>
      </c>
      <c r="AF8" s="4">
        <v>24</v>
      </c>
      <c r="AG8" s="4">
        <v>4</v>
      </c>
      <c r="AH8" s="4">
        <v>4</v>
      </c>
      <c r="AI8" s="4">
        <v>5</v>
      </c>
      <c r="AJ8" s="4">
        <v>10</v>
      </c>
      <c r="AK8" s="5">
        <v>0</v>
      </c>
      <c r="AL8" s="5">
        <v>0</v>
      </c>
      <c r="AM8" s="5">
        <v>0</v>
      </c>
      <c r="AN8" s="5">
        <v>0</v>
      </c>
      <c r="AO8" s="6">
        <v>0</v>
      </c>
      <c r="AP8" s="6">
        <v>6</v>
      </c>
      <c r="AQ8" s="6">
        <v>5</v>
      </c>
      <c r="AR8" s="6">
        <v>0</v>
      </c>
      <c r="AS8" s="6">
        <v>0</v>
      </c>
      <c r="AT8" s="6">
        <v>0</v>
      </c>
      <c r="AU8" s="6">
        <v>0</v>
      </c>
      <c r="AV8" s="6">
        <v>0</v>
      </c>
      <c r="AW8" s="6">
        <v>0</v>
      </c>
      <c r="AX8" s="6">
        <v>2</v>
      </c>
      <c r="AY8" s="6">
        <v>0</v>
      </c>
      <c r="AZ8" s="6">
        <v>0</v>
      </c>
      <c r="BA8">
        <f t="shared" si="0"/>
        <v>114</v>
      </c>
      <c r="BB8">
        <f>COUNTIF(C8:AZ8,0)</f>
        <v>33</v>
      </c>
      <c r="BC8">
        <f>COUNTIF(C8:AZ8,"&gt;0")</f>
        <v>17</v>
      </c>
    </row>
    <row r="9" spans="1:55" x14ac:dyDescent="0.3">
      <c r="A9" s="1">
        <v>46312</v>
      </c>
      <c r="B9">
        <v>4</v>
      </c>
      <c r="C9" s="3">
        <v>1</v>
      </c>
      <c r="D9" s="3">
        <v>1</v>
      </c>
      <c r="E9" s="3">
        <v>2</v>
      </c>
      <c r="F9" s="3">
        <v>0</v>
      </c>
      <c r="G9" s="3">
        <v>1</v>
      </c>
      <c r="H9" s="3">
        <v>0</v>
      </c>
      <c r="I9" s="3">
        <v>6</v>
      </c>
      <c r="J9" s="3">
        <v>5</v>
      </c>
      <c r="K9" s="3">
        <v>3</v>
      </c>
      <c r="L9" s="3">
        <v>4</v>
      </c>
      <c r="M9" s="3">
        <v>0</v>
      </c>
      <c r="N9" s="3">
        <v>1</v>
      </c>
      <c r="O9" s="3">
        <v>4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4</v>
      </c>
      <c r="AC9" s="3">
        <v>1</v>
      </c>
      <c r="AD9" s="3">
        <v>1</v>
      </c>
      <c r="AE9" s="4">
        <v>72</v>
      </c>
      <c r="AF9" s="4">
        <v>36</v>
      </c>
      <c r="AG9" s="4">
        <v>10</v>
      </c>
      <c r="AH9" s="4">
        <v>6</v>
      </c>
      <c r="AI9" s="4">
        <v>0</v>
      </c>
      <c r="AJ9" s="4">
        <v>12</v>
      </c>
      <c r="AK9" s="5">
        <v>0</v>
      </c>
      <c r="AL9" s="5">
        <v>1</v>
      </c>
      <c r="AM9" s="5">
        <v>0</v>
      </c>
      <c r="AN9" s="5">
        <v>0</v>
      </c>
      <c r="AO9" s="6">
        <v>1</v>
      </c>
      <c r="AP9" s="6">
        <v>20</v>
      </c>
      <c r="AQ9" s="6">
        <v>5</v>
      </c>
      <c r="AR9" s="6">
        <v>0</v>
      </c>
      <c r="AS9" s="6">
        <v>1</v>
      </c>
      <c r="AT9" s="6">
        <v>2</v>
      </c>
      <c r="AU9" s="6">
        <v>1</v>
      </c>
      <c r="AV9" s="6">
        <v>3</v>
      </c>
      <c r="AW9" s="6">
        <v>1</v>
      </c>
      <c r="AX9" s="6">
        <v>4</v>
      </c>
      <c r="AY9" s="6">
        <v>0</v>
      </c>
      <c r="AZ9" s="6">
        <v>0</v>
      </c>
      <c r="BA9">
        <f t="shared" si="0"/>
        <v>209</v>
      </c>
      <c r="BB9">
        <f>COUNTIF(C9:AZ9,0)</f>
        <v>22</v>
      </c>
      <c r="BC9">
        <f>COUNTIF(C9:AZ9,"&gt;0")</f>
        <v>28</v>
      </c>
    </row>
    <row r="10" spans="1:55" x14ac:dyDescent="0.3">
      <c r="A10" s="1">
        <v>46313</v>
      </c>
      <c r="B10">
        <v>3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2</v>
      </c>
      <c r="M10" s="3">
        <v>4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1</v>
      </c>
      <c r="AE10" s="4">
        <v>50</v>
      </c>
      <c r="AF10" s="4">
        <v>26</v>
      </c>
      <c r="AG10" s="4">
        <v>0</v>
      </c>
      <c r="AH10" s="4">
        <v>16</v>
      </c>
      <c r="AI10" s="4">
        <v>1</v>
      </c>
      <c r="AJ10" s="4">
        <v>0</v>
      </c>
      <c r="AK10" s="5">
        <v>0</v>
      </c>
      <c r="AL10" s="5">
        <v>1</v>
      </c>
      <c r="AM10" s="5">
        <v>0</v>
      </c>
      <c r="AN10" s="5">
        <v>0</v>
      </c>
      <c r="AO10" s="6">
        <v>2</v>
      </c>
      <c r="AP10" s="6">
        <v>6</v>
      </c>
      <c r="AQ10" s="6">
        <v>3</v>
      </c>
      <c r="AR10" s="6">
        <v>1</v>
      </c>
      <c r="AS10" s="6">
        <v>0</v>
      </c>
      <c r="AT10" s="6">
        <v>0</v>
      </c>
      <c r="AU10" s="6">
        <v>0</v>
      </c>
      <c r="AV10" s="6">
        <v>0</v>
      </c>
      <c r="AW10" s="6">
        <v>0</v>
      </c>
      <c r="AX10" s="6">
        <v>1</v>
      </c>
      <c r="AY10" s="6">
        <v>0</v>
      </c>
      <c r="AZ10" s="6">
        <v>1</v>
      </c>
      <c r="BA10">
        <f t="shared" si="0"/>
        <v>115</v>
      </c>
      <c r="BB10">
        <f>COUNTIF(C10:AZ10,0)</f>
        <v>36</v>
      </c>
      <c r="BC10">
        <f>COUNTIF(C10:AZ10,"&gt;0")</f>
        <v>14</v>
      </c>
    </row>
    <row r="11" spans="1:55" x14ac:dyDescent="0.3">
      <c r="A11" s="1">
        <v>46318</v>
      </c>
      <c r="B11">
        <v>4</v>
      </c>
      <c r="C11" s="3">
        <v>2</v>
      </c>
      <c r="D11" s="3">
        <v>0</v>
      </c>
      <c r="E11" s="3">
        <v>4</v>
      </c>
      <c r="F11" s="3">
        <v>2</v>
      </c>
      <c r="G11" s="3">
        <v>1</v>
      </c>
      <c r="H11" s="3">
        <v>0</v>
      </c>
      <c r="I11" s="3">
        <v>4</v>
      </c>
      <c r="J11" s="3">
        <v>6</v>
      </c>
      <c r="K11" s="3">
        <v>1</v>
      </c>
      <c r="L11" s="3">
        <v>0</v>
      </c>
      <c r="M11" s="3">
        <v>0</v>
      </c>
      <c r="N11" s="3">
        <v>0</v>
      </c>
      <c r="O11" s="3">
        <v>3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2</v>
      </c>
      <c r="AE11" s="4">
        <v>42</v>
      </c>
      <c r="AF11" s="4">
        <v>24</v>
      </c>
      <c r="AG11" s="4">
        <v>0</v>
      </c>
      <c r="AH11" s="4">
        <v>18</v>
      </c>
      <c r="AI11" s="4">
        <v>15</v>
      </c>
      <c r="AJ11" s="4">
        <v>20</v>
      </c>
      <c r="AK11" s="5">
        <v>0</v>
      </c>
      <c r="AL11" s="5">
        <v>0</v>
      </c>
      <c r="AM11" s="5">
        <v>0</v>
      </c>
      <c r="AN11" s="5">
        <v>0</v>
      </c>
      <c r="AO11" s="6">
        <v>1</v>
      </c>
      <c r="AP11" s="6">
        <v>22</v>
      </c>
      <c r="AQ11" s="6">
        <v>16</v>
      </c>
      <c r="AR11" s="6">
        <v>8</v>
      </c>
      <c r="AS11" s="6">
        <v>0</v>
      </c>
      <c r="AT11" s="6">
        <v>0</v>
      </c>
      <c r="AU11" s="6">
        <v>0</v>
      </c>
      <c r="AV11" s="6">
        <v>0</v>
      </c>
      <c r="AW11" s="6">
        <v>0</v>
      </c>
      <c r="AX11" s="6">
        <v>5</v>
      </c>
      <c r="AY11" s="6">
        <v>3</v>
      </c>
      <c r="AZ11" s="6">
        <v>2</v>
      </c>
      <c r="BA11">
        <f t="shared" si="0"/>
        <v>201</v>
      </c>
      <c r="BB11">
        <f>COUNTIF(C11:AZ11,0)</f>
        <v>29</v>
      </c>
      <c r="BC11">
        <f>COUNTIF(C11:AZ11,"&gt;0")</f>
        <v>21</v>
      </c>
    </row>
    <row r="12" spans="1:55" x14ac:dyDescent="0.3">
      <c r="A12" s="1">
        <v>46319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4"/>
      <c r="AF12" s="4"/>
      <c r="AG12" s="4"/>
      <c r="AH12" s="4"/>
      <c r="AI12" s="4"/>
      <c r="AJ12" s="4"/>
      <c r="AK12" s="5"/>
      <c r="AL12" s="5"/>
      <c r="AM12" s="5"/>
      <c r="AN12" s="5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>
        <f t="shared" si="0"/>
        <v>0</v>
      </c>
      <c r="BB12">
        <f>COUNTIF(C12:AZ12,0)</f>
        <v>0</v>
      </c>
      <c r="BC12">
        <f>COUNTIF(C12:AZ12,"&gt;0")</f>
        <v>0</v>
      </c>
    </row>
    <row r="13" spans="1:55" x14ac:dyDescent="0.3">
      <c r="A13" s="1">
        <v>46320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4"/>
      <c r="AF13" s="4"/>
      <c r="AG13" s="4"/>
      <c r="AH13" s="4"/>
      <c r="AI13" s="4"/>
      <c r="AJ13" s="4"/>
      <c r="AK13" s="5"/>
      <c r="AL13" s="5"/>
      <c r="AM13" s="5"/>
      <c r="AN13" s="5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>
        <f t="shared" si="0"/>
        <v>0</v>
      </c>
      <c r="BB13">
        <f>COUNTIF(C13:AZ13,0)</f>
        <v>0</v>
      </c>
      <c r="BC13">
        <f>COUNTIF(C13:AZ13,"&gt;0")</f>
        <v>0</v>
      </c>
    </row>
    <row r="14" spans="1:55" x14ac:dyDescent="0.3">
      <c r="A14" s="1">
        <v>46325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4"/>
      <c r="AF14" s="4"/>
      <c r="AG14" s="4"/>
      <c r="AH14" s="4"/>
      <c r="AI14" s="4"/>
      <c r="AJ14" s="4"/>
      <c r="AK14" s="5"/>
      <c r="AL14" s="5"/>
      <c r="AM14" s="5"/>
      <c r="AN14" s="5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>
        <f t="shared" si="0"/>
        <v>0</v>
      </c>
      <c r="BB14">
        <f>COUNTIF(C14:AZ14,0)</f>
        <v>0</v>
      </c>
      <c r="BC14">
        <f>COUNTIF(C14:AZ14,"&gt;0")</f>
        <v>0</v>
      </c>
    </row>
    <row r="15" spans="1:55" x14ac:dyDescent="0.3">
      <c r="A15" s="1">
        <v>46326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4"/>
      <c r="AF15" s="4"/>
      <c r="AG15" s="4"/>
      <c r="AH15" s="4"/>
      <c r="AI15" s="4"/>
      <c r="AJ15" s="4"/>
      <c r="AK15" s="5"/>
      <c r="AL15" s="5"/>
      <c r="AM15" s="5"/>
      <c r="AN15" s="5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>
        <f t="shared" si="0"/>
        <v>0</v>
      </c>
      <c r="BB15">
        <f>COUNTIF(C15:AZ15,0)</f>
        <v>0</v>
      </c>
      <c r="BC15">
        <f>COUNTIF(C15:AZ15,"&gt;0")</f>
        <v>0</v>
      </c>
    </row>
    <row r="16" spans="1:55" x14ac:dyDescent="0.3">
      <c r="A16" s="1">
        <v>46327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4"/>
      <c r="AF16" s="4"/>
      <c r="AG16" s="4"/>
      <c r="AH16" s="4"/>
      <c r="AI16" s="4"/>
      <c r="AJ16" s="4"/>
      <c r="AK16" s="5"/>
      <c r="AL16" s="5"/>
      <c r="AM16" s="5"/>
      <c r="AN16" s="5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>
        <f t="shared" si="0"/>
        <v>0</v>
      </c>
      <c r="BB16">
        <f>COUNTIF(C16:AZ16,0)</f>
        <v>0</v>
      </c>
      <c r="BC16">
        <f>COUNTIF(C16:AZ16,"&gt;0")</f>
        <v>0</v>
      </c>
    </row>
    <row r="17" spans="3:55" x14ac:dyDescent="0.3"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4"/>
      <c r="AF17" s="4"/>
      <c r="AG17" s="4"/>
      <c r="AH17" s="4"/>
      <c r="AI17" s="4"/>
      <c r="AJ17" s="4"/>
      <c r="AK17" s="5"/>
      <c r="AL17" s="5"/>
      <c r="AM17" s="5"/>
      <c r="AN17" s="5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t="s">
        <v>65</v>
      </c>
      <c r="BB17" t="s">
        <v>65</v>
      </c>
      <c r="BC17" t="s">
        <v>65</v>
      </c>
    </row>
    <row r="18" spans="3:55" x14ac:dyDescent="0.3"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4"/>
      <c r="AF18" s="4"/>
      <c r="AG18" s="4"/>
      <c r="AH18" s="4"/>
      <c r="AI18" s="4"/>
      <c r="AJ18" s="4"/>
      <c r="AK18" s="5"/>
      <c r="AL18" s="5"/>
      <c r="AM18" s="5"/>
      <c r="AN18" s="5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>
        <f>SUM(C2:AZ16)</f>
        <v>1604</v>
      </c>
      <c r="BB18">
        <f>COUNTIF(C2:AZ16,0)</f>
        <v>281</v>
      </c>
      <c r="BC18">
        <f>COUNTIF(C2:AZ16,"&gt;0")</f>
        <v>219</v>
      </c>
    </row>
    <row r="19" spans="3:55" x14ac:dyDescent="0.3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4"/>
      <c r="AF19" s="4"/>
      <c r="AG19" s="4"/>
      <c r="AH19" s="4"/>
      <c r="AI19" s="4"/>
      <c r="AJ19" s="4"/>
      <c r="AK19" s="5"/>
      <c r="AL19" s="5"/>
      <c r="AM19" s="5"/>
      <c r="AN19" s="5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</row>
    <row r="20" spans="3:55" x14ac:dyDescent="0.3"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4"/>
      <c r="AF20" s="4"/>
      <c r="AG20" s="4"/>
      <c r="AH20" s="4"/>
      <c r="AI20" s="4"/>
      <c r="AJ20" s="4"/>
      <c r="AK20" s="5"/>
      <c r="AL20" s="5"/>
      <c r="AM20" s="5"/>
      <c r="AN20" s="5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Catalogue</vt:lpstr>
      <vt:lpstr>Records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Mreza Ebi</dc:creator>
  <cp:lastModifiedBy>UG-Ebrahimy, Mohammad</cp:lastModifiedBy>
  <dcterms:created xsi:type="dcterms:W3CDTF">2015-06-05T18:17:20Z</dcterms:created>
  <dcterms:modified xsi:type="dcterms:W3CDTF">2026-10-26T12:11:50Z</dcterms:modified>
</cp:coreProperties>
</file>